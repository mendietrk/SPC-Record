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QP1.9-main\src\public\reportes\"/>
    </mc:Choice>
  </mc:AlternateContent>
  <xr:revisionPtr revIDLastSave="0" documentId="13_ncr:1_{174F19EF-4C40-48B8-9D4B-0637CF28739B}" xr6:coauthVersionLast="47" xr6:coauthVersionMax="47" xr10:uidLastSave="{00000000-0000-0000-0000-000000000000}"/>
  <bookViews>
    <workbookView xWindow="20370" yWindow="-120" windowWidth="29040" windowHeight="15720" activeTab="2" xr2:uid="{A4815267-E271-4A3C-8D14-4CBD997A1E3A}"/>
  </bookViews>
  <sheets>
    <sheet name="D" sheetId="2" r:id="rId1"/>
    <sheet name="Data" sheetId="3" r:id="rId2"/>
    <sheet name="14DAJ9" sheetId="1" r:id="rId3"/>
    <sheet name="Hoja4" sheetId="4" r:id="rId4"/>
  </sheets>
  <externalReferences>
    <externalReference r:id="rId5"/>
  </externalReferences>
  <definedNames>
    <definedName name="_xlnm._FilterDatabase" localSheetId="0" hidden="1">D!$AP$1:$AQ$151</definedName>
    <definedName name="Anzahl">#REF!</definedName>
    <definedName name="AnzahlKlassenHistogramm">#REF!</definedName>
    <definedName name="_xlnm.Print_Area" localSheetId="2">'14DAJ9'!$A$1:$P$25</definedName>
    <definedName name="BEOBPOGW">#REF!</definedName>
    <definedName name="BEOBPPM">#REF!</definedName>
    <definedName name="BEOBPUGW">#REF!</definedName>
    <definedName name="BERP">#REF!</definedName>
    <definedName name="BERPOGW">#REF!</definedName>
    <definedName name="BERPUGW">#REF!</definedName>
    <definedName name="BG">#REF!</definedName>
    <definedName name="CP">#REF!</definedName>
    <definedName name="CPK">#REF!</definedName>
    <definedName name="CPO">#REF!</definedName>
    <definedName name="CPU">#REF!</definedName>
    <definedName name="Datum">#REF!</definedName>
    <definedName name="Häufigkeitsdichte">#REF!</definedName>
    <definedName name="Maßeinheit">#REF!</definedName>
    <definedName name="Maximum">#REF!</definedName>
    <definedName name="Median">#REF!</definedName>
    <definedName name="Merkmal">#REF!</definedName>
    <definedName name="Merkman">#REF!</definedName>
    <definedName name="Minimum">#REF!</definedName>
    <definedName name="Mittelwert">#REF!</definedName>
    <definedName name="Normalverteilung_S">#REF!</definedName>
    <definedName name="OGW">#REF!</definedName>
    <definedName name="P">#REF!</definedName>
    <definedName name="POGW">#REF!</definedName>
    <definedName name="PUGW">#REF!</definedName>
    <definedName name="Sollwert">#REF!</definedName>
    <definedName name="Spannweite">#REF!</definedName>
    <definedName name="Standardabweichung">#REF!</definedName>
    <definedName name="UGW">#REF!</definedName>
    <definedName name="x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4" i="1" l="1"/>
  <c r="M24" i="1" s="1"/>
  <c r="G24" i="1"/>
  <c r="I24" i="1" s="1"/>
  <c r="N6" i="1"/>
  <c r="I6" i="1"/>
  <c r="L23" i="1"/>
  <c r="N23" i="1" s="1"/>
  <c r="G23" i="1"/>
  <c r="H23" i="1" s="1"/>
  <c r="L22" i="1"/>
  <c r="N22" i="1" s="1"/>
  <c r="G22" i="1"/>
  <c r="H22" i="1" s="1"/>
  <c r="L21" i="1"/>
  <c r="M21" i="1" s="1"/>
  <c r="G21" i="1"/>
  <c r="H21" i="1" s="1"/>
  <c r="L20" i="1"/>
  <c r="M20" i="1" s="1"/>
  <c r="G20" i="1"/>
  <c r="I20" i="1" s="1"/>
  <c r="L19" i="1"/>
  <c r="M19" i="1" s="1"/>
  <c r="G19" i="1"/>
  <c r="H19" i="1" s="1"/>
  <c r="L18" i="1"/>
  <c r="N18" i="1" s="1"/>
  <c r="G18" i="1"/>
  <c r="H18" i="1" s="1"/>
  <c r="L17" i="1"/>
  <c r="M17" i="1" s="1"/>
  <c r="G17" i="1"/>
  <c r="H17" i="1" s="1"/>
  <c r="L16" i="1"/>
  <c r="M16" i="1" s="1"/>
  <c r="G16" i="1"/>
  <c r="I16" i="1" s="1"/>
  <c r="L15" i="1"/>
  <c r="N15" i="1" s="1"/>
  <c r="G15" i="1"/>
  <c r="H15" i="1" s="1"/>
  <c r="L14" i="1"/>
  <c r="N14" i="1" s="1"/>
  <c r="G14" i="1"/>
  <c r="H14" i="1" s="1"/>
  <c r="L13" i="1"/>
  <c r="M13" i="1" s="1"/>
  <c r="G13" i="1"/>
  <c r="H13" i="1" s="1"/>
  <c r="L12" i="1"/>
  <c r="M12" i="1" s="1"/>
  <c r="G12" i="1"/>
  <c r="I12" i="1" s="1"/>
  <c r="L11" i="1"/>
  <c r="M11" i="1" s="1"/>
  <c r="G11" i="1"/>
  <c r="I11" i="1" s="1"/>
  <c r="L10" i="1"/>
  <c r="M10" i="1" s="1"/>
  <c r="G10" i="1"/>
  <c r="H10" i="1" s="1"/>
  <c r="N25" i="1"/>
  <c r="M25" i="1"/>
  <c r="L25" i="1"/>
  <c r="I25" i="1"/>
  <c r="H25" i="1"/>
  <c r="G25" i="1"/>
  <c r="N9" i="1"/>
  <c r="M9" i="1"/>
  <c r="L9" i="1"/>
  <c r="I9" i="1"/>
  <c r="H9" i="1"/>
  <c r="G9" i="1"/>
  <c r="N17" i="1" l="1"/>
  <c r="O17" i="1" s="1"/>
  <c r="I18" i="1"/>
  <c r="J18" i="1" s="1"/>
  <c r="I17" i="1"/>
  <c r="J17" i="1" s="1"/>
  <c r="N10" i="1"/>
  <c r="O10" i="1" s="1"/>
  <c r="I10" i="1"/>
  <c r="J10" i="1" s="1"/>
  <c r="N11" i="1"/>
  <c r="O11" i="1" s="1"/>
  <c r="N19" i="1"/>
  <c r="O19" i="1" s="1"/>
  <c r="I23" i="1"/>
  <c r="J23" i="1" s="1"/>
  <c r="I15" i="1"/>
  <c r="J15" i="1" s="1"/>
  <c r="N12" i="1"/>
  <c r="O12" i="1" s="1"/>
  <c r="N20" i="1"/>
  <c r="O20" i="1" s="1"/>
  <c r="I22" i="1"/>
  <c r="J22" i="1" s="1"/>
  <c r="I14" i="1"/>
  <c r="J14" i="1" s="1"/>
  <c r="N13" i="1"/>
  <c r="O13" i="1" s="1"/>
  <c r="N21" i="1"/>
  <c r="O21" i="1" s="1"/>
  <c r="I21" i="1"/>
  <c r="J21" i="1" s="1"/>
  <c r="I13" i="1"/>
  <c r="J13" i="1" s="1"/>
  <c r="I19" i="1"/>
  <c r="J19" i="1" s="1"/>
  <c r="N16" i="1"/>
  <c r="O16" i="1" s="1"/>
  <c r="N24" i="1"/>
  <c r="O24" i="1" s="1"/>
  <c r="J25" i="1"/>
  <c r="O25" i="1"/>
  <c r="J9" i="1"/>
  <c r="O9" i="1"/>
  <c r="H12" i="1"/>
  <c r="M22" i="1"/>
  <c r="M18" i="1"/>
  <c r="M14" i="1"/>
  <c r="H24" i="1"/>
  <c r="H20" i="1"/>
  <c r="H16" i="1"/>
  <c r="H11" i="1"/>
  <c r="M23" i="1"/>
  <c r="M15" i="1"/>
  <c r="J24" i="1" l="1"/>
  <c r="O22" i="1"/>
  <c r="J20" i="1"/>
  <c r="J16" i="1"/>
  <c r="O18" i="1"/>
  <c r="O15" i="1"/>
  <c r="O14" i="1"/>
  <c r="J11" i="1"/>
  <c r="J12" i="1"/>
  <c r="O23" i="1"/>
  <c r="K45" i="2" l="1"/>
  <c r="K44" i="2"/>
  <c r="J44" i="2"/>
  <c r="H44" i="2"/>
  <c r="G44" i="2"/>
  <c r="K43" i="2"/>
  <c r="J43" i="2"/>
  <c r="H43" i="2"/>
  <c r="G43" i="2"/>
  <c r="K42" i="2"/>
  <c r="J42" i="2"/>
  <c r="H42" i="2"/>
  <c r="G42" i="2"/>
  <c r="K41" i="2"/>
  <c r="J41" i="2"/>
  <c r="H41" i="2"/>
  <c r="G41" i="2"/>
  <c r="K40" i="2"/>
  <c r="J40" i="2"/>
  <c r="H40" i="2"/>
  <c r="G40" i="2"/>
  <c r="K39" i="2"/>
  <c r="J39" i="2"/>
  <c r="H39" i="2"/>
  <c r="G39" i="2"/>
  <c r="K38" i="2"/>
  <c r="J38" i="2"/>
  <c r="G38" i="2"/>
  <c r="F38" i="2"/>
  <c r="H38" i="2" s="1"/>
  <c r="K37" i="2"/>
  <c r="J37" i="2"/>
  <c r="H37" i="2"/>
  <c r="G37" i="2"/>
  <c r="F37" i="2"/>
  <c r="K36" i="2"/>
  <c r="J36" i="2"/>
  <c r="H36" i="2"/>
  <c r="G36" i="2"/>
  <c r="F36" i="2"/>
  <c r="K35" i="2"/>
  <c r="J35" i="2"/>
  <c r="G35" i="2"/>
  <c r="F35" i="2"/>
  <c r="H35" i="2" s="1"/>
  <c r="K34" i="2"/>
  <c r="J34" i="2"/>
  <c r="H34" i="2"/>
  <c r="G34" i="2"/>
  <c r="F34" i="2"/>
  <c r="K33" i="2"/>
  <c r="J33" i="2"/>
  <c r="H33" i="2"/>
  <c r="G33" i="2"/>
  <c r="F33" i="2"/>
  <c r="K32" i="2"/>
  <c r="J32" i="2"/>
  <c r="H32" i="2"/>
  <c r="G32" i="2"/>
  <c r="F32" i="2"/>
  <c r="K31" i="2"/>
  <c r="J31" i="2"/>
  <c r="H31" i="2"/>
  <c r="G31" i="2"/>
  <c r="K30" i="2"/>
  <c r="J30" i="2"/>
  <c r="G30" i="2"/>
  <c r="F30" i="2"/>
  <c r="H30" i="2" s="1"/>
  <c r="K29" i="2"/>
  <c r="J29" i="2"/>
  <c r="G29" i="2"/>
  <c r="F29" i="2"/>
  <c r="H29" i="2" s="1"/>
  <c r="K28" i="2"/>
  <c r="J28" i="2"/>
  <c r="G28" i="2"/>
  <c r="F28" i="2"/>
  <c r="H28" i="2" s="1"/>
  <c r="K27" i="2"/>
  <c r="J27" i="2"/>
  <c r="H27" i="2"/>
  <c r="G27" i="2"/>
  <c r="F27" i="2"/>
  <c r="K26" i="2"/>
  <c r="J26" i="2"/>
  <c r="H26" i="2"/>
  <c r="G26" i="2"/>
  <c r="F26" i="2"/>
  <c r="K25" i="2"/>
  <c r="J25" i="2"/>
  <c r="H25" i="2"/>
  <c r="G25" i="2"/>
  <c r="F25" i="2"/>
  <c r="K24" i="2"/>
  <c r="J24" i="2"/>
  <c r="G24" i="2"/>
  <c r="F24" i="2"/>
  <c r="H24" i="2" s="1"/>
  <c r="BE23" i="2"/>
  <c r="BD23" i="2"/>
  <c r="BC23" i="2"/>
  <c r="BB23" i="2"/>
  <c r="BA23" i="2"/>
  <c r="AZ23" i="2"/>
  <c r="K23" i="2"/>
  <c r="J23" i="2"/>
  <c r="G23" i="2"/>
  <c r="F23" i="2"/>
  <c r="H23" i="2" s="1"/>
  <c r="BE22" i="2"/>
  <c r="BD22" i="2"/>
  <c r="BC22" i="2"/>
  <c r="BB22" i="2"/>
  <c r="BA22" i="2"/>
  <c r="AZ22" i="2"/>
  <c r="K22" i="2"/>
  <c r="J22" i="2"/>
  <c r="H22" i="2"/>
  <c r="G22" i="2"/>
  <c r="F22" i="2"/>
  <c r="BE21" i="2"/>
  <c r="BD21" i="2"/>
  <c r="BC21" i="2"/>
  <c r="BB21" i="2"/>
  <c r="BA21" i="2"/>
  <c r="AZ21" i="2"/>
  <c r="BE20" i="2"/>
  <c r="BD20" i="2"/>
  <c r="BC20" i="2"/>
  <c r="BB20" i="2"/>
  <c r="BA20" i="2"/>
  <c r="AZ20" i="2"/>
  <c r="BE19" i="2"/>
  <c r="BD19" i="2"/>
  <c r="BC19" i="2"/>
  <c r="BB19" i="2"/>
  <c r="BA19" i="2"/>
  <c r="AZ19" i="2"/>
  <c r="BE18" i="2"/>
  <c r="BD18" i="2"/>
  <c r="BC18" i="2"/>
  <c r="BB18" i="2"/>
  <c r="BA18" i="2"/>
  <c r="AZ18" i="2"/>
  <c r="BE17" i="2"/>
  <c r="BD17" i="2"/>
  <c r="BC17" i="2"/>
  <c r="BB17" i="2"/>
  <c r="BA17" i="2"/>
  <c r="AZ17" i="2"/>
  <c r="BE16" i="2"/>
  <c r="BD16" i="2"/>
  <c r="BC16" i="2"/>
  <c r="BB16" i="2"/>
  <c r="BA16" i="2"/>
  <c r="AZ16" i="2"/>
  <c r="BE15" i="2"/>
  <c r="BD15" i="2"/>
  <c r="BC15" i="2"/>
  <c r="BB15" i="2"/>
  <c r="BA15" i="2"/>
  <c r="AZ15" i="2"/>
  <c r="BE14" i="2"/>
  <c r="BD14" i="2"/>
  <c r="BC14" i="2"/>
  <c r="BB14" i="2"/>
  <c r="BA14" i="2"/>
  <c r="AZ14" i="2"/>
  <c r="BE13" i="2"/>
  <c r="BD13" i="2"/>
  <c r="BC13" i="2"/>
  <c r="BB13" i="2"/>
  <c r="BA13" i="2"/>
  <c r="AZ13" i="2"/>
  <c r="BE12" i="2"/>
  <c r="BD12" i="2"/>
  <c r="BC12" i="2"/>
  <c r="BB12" i="2"/>
  <c r="BA12" i="2"/>
  <c r="AZ12" i="2"/>
  <c r="BE11" i="2"/>
  <c r="BD11" i="2"/>
  <c r="BC11" i="2"/>
  <c r="BB11" i="2"/>
  <c r="BA11" i="2"/>
  <c r="AZ11" i="2"/>
  <c r="BE10" i="2"/>
  <c r="BD10" i="2"/>
  <c r="BC10" i="2"/>
  <c r="BB10" i="2"/>
  <c r="BA10" i="2"/>
  <c r="AZ10" i="2"/>
  <c r="BE9" i="2"/>
  <c r="BD9" i="2"/>
  <c r="BC9" i="2"/>
  <c r="BB9" i="2"/>
  <c r="BA9" i="2"/>
  <c r="AZ9" i="2"/>
  <c r="BE8" i="2"/>
  <c r="BD8" i="2"/>
  <c r="BC8" i="2"/>
  <c r="BB8" i="2"/>
  <c r="BA8" i="2"/>
  <c r="AZ8" i="2"/>
  <c r="BE7" i="2"/>
  <c r="BD7" i="2"/>
  <c r="BC7" i="2"/>
  <c r="BB7" i="2"/>
  <c r="BA7" i="2"/>
  <c r="AZ7" i="2"/>
  <c r="BE6" i="2"/>
  <c r="BD6" i="2"/>
  <c r="BC6" i="2"/>
  <c r="BB6" i="2"/>
  <c r="BA6" i="2"/>
  <c r="AZ6" i="2"/>
  <c r="BE5" i="2"/>
  <c r="BD5" i="2"/>
  <c r="BC5" i="2"/>
  <c r="BB5" i="2"/>
  <c r="BA5" i="2"/>
  <c r="AZ5" i="2"/>
  <c r="BE4" i="2"/>
  <c r="BD4" i="2"/>
  <c r="BC4" i="2"/>
  <c r="BB4" i="2"/>
  <c r="BA4" i="2"/>
  <c r="AZ4" i="2"/>
  <c r="AR1" i="2"/>
  <c r="AR2" i="2" s="1"/>
  <c r="AR3" i="2" l="1"/>
  <c r="AS2" i="2"/>
  <c r="AR4" i="2" l="1"/>
  <c r="AS3" i="2"/>
  <c r="AS4" i="2" l="1"/>
  <c r="AR5" i="2"/>
  <c r="AS5" i="2" l="1"/>
  <c r="AR6" i="2"/>
  <c r="AS6" i="2" l="1"/>
  <c r="AR7" i="2"/>
  <c r="AS7" i="2" l="1"/>
  <c r="AR8" i="2"/>
  <c r="AS8" i="2" l="1"/>
  <c r="AR9" i="2"/>
  <c r="AS9" i="2" l="1"/>
  <c r="AR10" i="2"/>
  <c r="AS10" i="2" l="1"/>
  <c r="AR11" i="2"/>
  <c r="AS11" i="2" l="1"/>
  <c r="AR12" i="2"/>
  <c r="AS12" i="2" l="1"/>
  <c r="AR13" i="2"/>
  <c r="AS13" i="2" l="1"/>
  <c r="AR14" i="2"/>
  <c r="AS14" i="2" l="1"/>
  <c r="AR15" i="2"/>
  <c r="AS15" i="2" l="1"/>
  <c r="AR16" i="2"/>
  <c r="AS16" i="2" l="1"/>
  <c r="AR17" i="2"/>
  <c r="AS17" i="2" l="1"/>
  <c r="AR18" i="2"/>
  <c r="AS18" i="2" l="1"/>
  <c r="AR19" i="2"/>
  <c r="AS19" i="2" l="1"/>
  <c r="AR20" i="2"/>
  <c r="AS20" i="2" l="1"/>
  <c r="AR21" i="2"/>
  <c r="AS21" i="2" l="1"/>
  <c r="AR22" i="2"/>
  <c r="AR23" i="2" l="1"/>
  <c r="AS22" i="2"/>
  <c r="AS23" i="2" l="1"/>
  <c r="AR24" i="2"/>
  <c r="AS24" i="2" l="1"/>
  <c r="AR25" i="2"/>
  <c r="AS25" i="2" l="1"/>
  <c r="AR26" i="2"/>
  <c r="AS26" i="2" l="1"/>
  <c r="AR27" i="2"/>
  <c r="AR28" i="2" l="1"/>
  <c r="AS27" i="2"/>
  <c r="AR29" i="2" l="1"/>
  <c r="AS28" i="2"/>
  <c r="AR30" i="2" l="1"/>
  <c r="AS29" i="2"/>
  <c r="AR31" i="2" l="1"/>
  <c r="AS30" i="2"/>
  <c r="AS31" i="2" l="1"/>
  <c r="AR32" i="2"/>
  <c r="AS32" i="2" l="1"/>
  <c r="AR33" i="2"/>
  <c r="AS33" i="2" l="1"/>
  <c r="AR34" i="2"/>
  <c r="AR35" i="2" l="1"/>
  <c r="AS34" i="2"/>
  <c r="AR36" i="2" l="1"/>
  <c r="AS35" i="2"/>
  <c r="AR37" i="2" l="1"/>
  <c r="AS36" i="2"/>
  <c r="AS37" i="2" l="1"/>
  <c r="AR38" i="2"/>
  <c r="AS38" i="2" l="1"/>
  <c r="AR39" i="2"/>
  <c r="AS39" i="2" l="1"/>
  <c r="AR40" i="2"/>
  <c r="AR41" i="2" l="1"/>
  <c r="AS40" i="2"/>
  <c r="AS41" i="2" l="1"/>
  <c r="AR42" i="2"/>
  <c r="AS42" i="2" l="1"/>
  <c r="AR43" i="2"/>
  <c r="AS43" i="2" l="1"/>
  <c r="AR44" i="2"/>
  <c r="AR45" i="2" l="1"/>
  <c r="AS44" i="2"/>
  <c r="AR46" i="2" l="1"/>
  <c r="AS45" i="2"/>
  <c r="AS46" i="2" l="1"/>
  <c r="AR47" i="2"/>
  <c r="AR48" i="2" l="1"/>
  <c r="AS47" i="2"/>
  <c r="AR49" i="2" l="1"/>
  <c r="AS48" i="2"/>
  <c r="AR50" i="2" l="1"/>
  <c r="AS49" i="2"/>
  <c r="AS50" i="2" l="1"/>
  <c r="AR51" i="2"/>
  <c r="AR52" i="2" l="1"/>
  <c r="AS51" i="2"/>
  <c r="AR53" i="2" l="1"/>
  <c r="AS52" i="2"/>
  <c r="AR54" i="2" l="1"/>
  <c r="AS53" i="2"/>
  <c r="AS54" i="2" l="1"/>
  <c r="AR55" i="2"/>
  <c r="AR56" i="2" l="1"/>
  <c r="AS55" i="2"/>
  <c r="AR57" i="2" l="1"/>
  <c r="AS56" i="2"/>
  <c r="AR58" i="2" l="1"/>
  <c r="AS57" i="2"/>
  <c r="AS58" i="2" l="1"/>
  <c r="AR59" i="2"/>
  <c r="AR60" i="2" l="1"/>
  <c r="AS59" i="2"/>
  <c r="AR61" i="2" l="1"/>
  <c r="AS60" i="2"/>
  <c r="AR62" i="2" l="1"/>
  <c r="AS61" i="2"/>
  <c r="AS62" i="2" l="1"/>
  <c r="AR63" i="2"/>
  <c r="AR64" i="2" l="1"/>
  <c r="AS63" i="2"/>
  <c r="AR65" i="2" l="1"/>
  <c r="AS64" i="2"/>
  <c r="AR66" i="2" l="1"/>
  <c r="AS65" i="2"/>
  <c r="AS66" i="2" l="1"/>
  <c r="AR67" i="2"/>
  <c r="AR68" i="2" l="1"/>
  <c r="AS67" i="2"/>
  <c r="AR69" i="2" l="1"/>
  <c r="AS68" i="2"/>
  <c r="AR70" i="2" l="1"/>
  <c r="AS69" i="2"/>
  <c r="AS70" i="2" l="1"/>
  <c r="AR71" i="2"/>
  <c r="AR72" i="2" l="1"/>
  <c r="AS71" i="2"/>
  <c r="AR73" i="2" l="1"/>
  <c r="AS72" i="2"/>
  <c r="AR74" i="2" l="1"/>
  <c r="AS73" i="2"/>
  <c r="AS74" i="2" l="1"/>
  <c r="AR75" i="2"/>
  <c r="AR76" i="2" l="1"/>
  <c r="AS75" i="2"/>
  <c r="AR77" i="2" l="1"/>
  <c r="AS76" i="2"/>
  <c r="AR78" i="2" l="1"/>
  <c r="AS77" i="2"/>
  <c r="AS78" i="2" l="1"/>
  <c r="AR79" i="2"/>
  <c r="AR80" i="2" l="1"/>
  <c r="AS79" i="2"/>
  <c r="AR81" i="2" l="1"/>
  <c r="AS80" i="2"/>
  <c r="AR82" i="2" l="1"/>
  <c r="AS81" i="2"/>
  <c r="AS82" i="2" l="1"/>
  <c r="AR83" i="2"/>
  <c r="AR84" i="2" l="1"/>
  <c r="AS83" i="2"/>
  <c r="AR85" i="2" l="1"/>
  <c r="AS84" i="2"/>
  <c r="AR86" i="2" l="1"/>
  <c r="AS85" i="2"/>
  <c r="AS86" i="2" l="1"/>
  <c r="AR87" i="2"/>
  <c r="AR88" i="2" l="1"/>
  <c r="AS87" i="2"/>
  <c r="AR89" i="2" l="1"/>
  <c r="AS88" i="2"/>
  <c r="AR90" i="2" l="1"/>
  <c r="AS89" i="2"/>
  <c r="AS90" i="2" l="1"/>
  <c r="AR91" i="2"/>
  <c r="AR92" i="2" l="1"/>
  <c r="AS91" i="2"/>
  <c r="AR93" i="2" l="1"/>
  <c r="AS92" i="2"/>
  <c r="AR94" i="2" l="1"/>
  <c r="AS93" i="2"/>
  <c r="AS94" i="2" l="1"/>
  <c r="AR95" i="2"/>
  <c r="AR96" i="2" l="1"/>
  <c r="AS95" i="2"/>
  <c r="AR97" i="2" l="1"/>
  <c r="AS96" i="2"/>
  <c r="AR98" i="2" l="1"/>
  <c r="AS97" i="2"/>
  <c r="AS98" i="2" l="1"/>
  <c r="AR99" i="2"/>
  <c r="AR100" i="2" l="1"/>
  <c r="AS99" i="2"/>
  <c r="AR101" i="2" l="1"/>
  <c r="AS100" i="2"/>
  <c r="AR102" i="2" l="1"/>
  <c r="AS101" i="2"/>
  <c r="AS102" i="2" l="1"/>
  <c r="AR103" i="2"/>
  <c r="AR104" i="2" l="1"/>
  <c r="AS103" i="2"/>
  <c r="AR105" i="2" l="1"/>
  <c r="AS104" i="2"/>
  <c r="AR106" i="2" l="1"/>
  <c r="AS105" i="2"/>
  <c r="AS106" i="2" l="1"/>
  <c r="AR107" i="2"/>
  <c r="AR108" i="2" l="1"/>
  <c r="AS107" i="2"/>
  <c r="AR109" i="2" l="1"/>
  <c r="AS108" i="2"/>
  <c r="AR110" i="2" l="1"/>
  <c r="AS109" i="2"/>
  <c r="AS110" i="2" l="1"/>
  <c r="AR111" i="2"/>
  <c r="AR112" i="2" l="1"/>
  <c r="AS111" i="2"/>
  <c r="AR113" i="2" l="1"/>
  <c r="AS112" i="2"/>
  <c r="AR114" i="2" l="1"/>
  <c r="AS113" i="2"/>
  <c r="AS114" i="2" l="1"/>
  <c r="AR115" i="2"/>
  <c r="AR116" i="2" l="1"/>
  <c r="AS115" i="2"/>
  <c r="AR117" i="2" l="1"/>
  <c r="AS116" i="2"/>
  <c r="AR118" i="2" l="1"/>
  <c r="AS117" i="2"/>
  <c r="AS118" i="2" l="1"/>
  <c r="AR119" i="2"/>
  <c r="AR120" i="2" l="1"/>
  <c r="AS119" i="2"/>
  <c r="AR121" i="2" l="1"/>
  <c r="AS120" i="2"/>
  <c r="AR122" i="2" l="1"/>
  <c r="AS121" i="2"/>
  <c r="AS122" i="2" l="1"/>
  <c r="AR123" i="2"/>
  <c r="AR124" i="2" l="1"/>
  <c r="AS123" i="2"/>
  <c r="AR125" i="2" l="1"/>
  <c r="AS124" i="2"/>
  <c r="AR126" i="2" l="1"/>
  <c r="AS126" i="2" s="1"/>
  <c r="AS125" i="2"/>
</calcChain>
</file>

<file path=xl/sharedStrings.xml><?xml version="1.0" encoding="utf-8"?>
<sst xmlns="http://schemas.openxmlformats.org/spreadsheetml/2006/main" count="343" uniqueCount="258">
  <si>
    <t xml:space="preserve">KUNHWA MEXICO </t>
  </si>
  <si>
    <t xml:space="preserve">SPC </t>
  </si>
  <si>
    <t>KUNHWA # :</t>
  </si>
  <si>
    <t>14DAJ9000 (10433939)</t>
  </si>
  <si>
    <t>DATE &amp; TIME :</t>
  </si>
  <si>
    <t>PART WIEGHT :</t>
  </si>
  <si>
    <t>92.8 ± 1.5g</t>
  </si>
  <si>
    <t>REVISION :</t>
  </si>
  <si>
    <t>LOTE:</t>
  </si>
  <si>
    <t>OPERATOR NAME :</t>
  </si>
  <si>
    <t>MACHINE N° :</t>
  </si>
  <si>
    <t>MATERIAL :</t>
  </si>
  <si>
    <t>PB420</t>
  </si>
  <si>
    <t>Approval by Ope:</t>
    <phoneticPr fontId="0" type="noConversion"/>
  </si>
  <si>
    <t>Approval by Pro:</t>
    <phoneticPr fontId="0" type="noConversion"/>
  </si>
  <si>
    <t>STANDARD CYCLE TIME :</t>
  </si>
  <si>
    <t>E-TIME:</t>
  </si>
  <si>
    <t>Custom &amp; Model :</t>
  </si>
  <si>
    <t>Sign</t>
  </si>
  <si>
    <t>Cliente: GKN</t>
    <phoneticPr fontId="0" type="noConversion"/>
  </si>
  <si>
    <t>D-TIME:</t>
  </si>
  <si>
    <t>PART #1</t>
  </si>
  <si>
    <t>PART #2</t>
  </si>
  <si>
    <t>obtener la aprobación de la calidad después de la configuración !!</t>
    <phoneticPr fontId="0" type="noConversion"/>
  </si>
  <si>
    <t>SECTOR</t>
  </si>
  <si>
    <t>R</t>
  </si>
  <si>
    <t>FlowLine</t>
  </si>
  <si>
    <t>Inspection No.</t>
  </si>
  <si>
    <t>Inspection region</t>
  </si>
  <si>
    <t>Spec</t>
  </si>
  <si>
    <t>Device</t>
  </si>
  <si>
    <t>A</t>
  </si>
  <si>
    <t>B</t>
  </si>
  <si>
    <t>C</t>
  </si>
  <si>
    <t>&lt;0.15</t>
  </si>
  <si>
    <t>&lt;-10%</t>
  </si>
  <si>
    <t>**</t>
  </si>
  <si>
    <t>PEQUEÑA "R"</t>
  </si>
  <si>
    <t>MIN 1.8</t>
  </si>
  <si>
    <t>Caliper</t>
  </si>
  <si>
    <t>*</t>
  </si>
  <si>
    <t>KHB 20</t>
  </si>
  <si>
    <t>Chico Ø 1
(Basic 2.0)</t>
  </si>
  <si>
    <t>Digital Ind+Fix S077</t>
  </si>
  <si>
    <t>KHB 01</t>
  </si>
  <si>
    <t xml:space="preserve">1st PEAK </t>
  </si>
  <si>
    <t>Digital Ind</t>
  </si>
  <si>
    <t>KHB 02</t>
  </si>
  <si>
    <t xml:space="preserve">1st ROOT </t>
  </si>
  <si>
    <t>Digital Ind+Fix K</t>
  </si>
  <si>
    <t>KHB 03</t>
  </si>
  <si>
    <t xml:space="preserve">2nd PEAK </t>
  </si>
  <si>
    <t>KHB 04</t>
  </si>
  <si>
    <t xml:space="preserve">2nd ROOT </t>
  </si>
  <si>
    <t>KHB 05</t>
  </si>
  <si>
    <t xml:space="preserve">3rd PEAK </t>
  </si>
  <si>
    <t>KHB 06</t>
  </si>
  <si>
    <t>3rd ROOT</t>
  </si>
  <si>
    <t>KHB 07</t>
  </si>
  <si>
    <t xml:space="preserve">4th PEAK </t>
  </si>
  <si>
    <t>KHB 08</t>
  </si>
  <si>
    <t>4th ROOT</t>
  </si>
  <si>
    <t>KHB 09</t>
  </si>
  <si>
    <t>5th PEAK</t>
  </si>
  <si>
    <t>KHB 10</t>
  </si>
  <si>
    <t>5th ROOT</t>
  </si>
  <si>
    <t>KHB 11</t>
  </si>
  <si>
    <t>6th PEAK</t>
  </si>
  <si>
    <t>KHB 12</t>
  </si>
  <si>
    <t>6th ROOT</t>
  </si>
  <si>
    <t>KHB 13</t>
  </si>
  <si>
    <t>7th PEAK</t>
  </si>
  <si>
    <t>KHB 14</t>
  </si>
  <si>
    <t>Grande Ø 1
(Basic 2.0)</t>
  </si>
  <si>
    <t>Digital Ind+Fix L078</t>
  </si>
  <si>
    <t>KHB 15</t>
  </si>
  <si>
    <t>Grande Ø 2</t>
  </si>
  <si>
    <t>2.45 MAX</t>
  </si>
  <si>
    <t>Weight</t>
  </si>
  <si>
    <t>WEIGHT</t>
  </si>
  <si>
    <t>Peak 1</t>
  </si>
  <si>
    <t>Peak 2</t>
  </si>
  <si>
    <t>Peak 3</t>
  </si>
  <si>
    <t>Peak 4</t>
  </si>
  <si>
    <t>Peak 5</t>
  </si>
  <si>
    <t>Peak 6</t>
  </si>
  <si>
    <t>Peak 7</t>
  </si>
  <si>
    <t>Root 1</t>
  </si>
  <si>
    <t>Root 2</t>
  </si>
  <si>
    <t>Root 3</t>
  </si>
  <si>
    <t>Root 4</t>
  </si>
  <si>
    <t>Root 5</t>
  </si>
  <si>
    <t>Root 6</t>
  </si>
  <si>
    <t>THKC</t>
  </si>
  <si>
    <t>THKF</t>
  </si>
  <si>
    <t>Número de parte</t>
  </si>
  <si>
    <t>μ</t>
  </si>
  <si>
    <t>σ</t>
  </si>
  <si>
    <t>Ppk
PpU
PpL</t>
  </si>
  <si>
    <t>Pp</t>
  </si>
  <si>
    <t>Cpk
CpU
CpL</t>
  </si>
  <si>
    <t>Cp</t>
  </si>
  <si>
    <t>Descripción</t>
  </si>
  <si>
    <t>Material</t>
  </si>
  <si>
    <t>PB420B</t>
  </si>
  <si>
    <t>Fecha</t>
  </si>
  <si>
    <t>rev. PFD</t>
  </si>
  <si>
    <t>No. de parte cliente/kunhwa</t>
  </si>
  <si>
    <t>10433939 / 14DAJ9000</t>
  </si>
  <si>
    <t>(</t>
  </si>
  <si>
    <t>/</t>
  </si>
  <si>
    <t>14DAJ9000</t>
  </si>
  <si>
    <t>Nombre de la parte</t>
  </si>
  <si>
    <t>BOOT UFi4600 / UF3-51</t>
  </si>
  <si>
    <t>Modelo</t>
  </si>
  <si>
    <t>GM T1XX</t>
  </si>
  <si>
    <t>Dibujo del cliente</t>
  </si>
  <si>
    <t>Peso</t>
  </si>
  <si>
    <t>Eng. Change level</t>
  </si>
  <si>
    <t>Date</t>
  </si>
  <si>
    <t>IMDS</t>
  </si>
  <si>
    <t>IMDS 1446951989 / 2</t>
  </si>
  <si>
    <t>Customer name division</t>
  </si>
  <si>
    <t>GKN VLG (Celaya)</t>
  </si>
  <si>
    <t>Purchase order</t>
  </si>
  <si>
    <t>Humedad de resina</t>
  </si>
  <si>
    <t>&lt;0.05%</t>
  </si>
  <si>
    <t>Temperatura de secado</t>
  </si>
  <si>
    <t>100℃ ± 10℃</t>
  </si>
  <si>
    <t>Tiempo de secado</t>
  </si>
  <si>
    <t>2hr~3hr</t>
  </si>
  <si>
    <t>Humedad del material</t>
  </si>
  <si>
    <t>&lt;0.04%</t>
  </si>
  <si>
    <t>Peso con tolerancia</t>
  </si>
  <si>
    <t>Weight 92.8 +/-1.5</t>
  </si>
  <si>
    <t xml:space="preserve"> +/-</t>
  </si>
  <si>
    <t>Espesor peak 1</t>
  </si>
  <si>
    <t>1 Peak 1.29 +/-0.15</t>
  </si>
  <si>
    <t>Espesor peak 2</t>
  </si>
  <si>
    <t>2 Peak 1.36 +/-0.15</t>
  </si>
  <si>
    <t>Espesor peak 3</t>
  </si>
  <si>
    <t>3 Peak 1.29 +/-0.15</t>
  </si>
  <si>
    <t>Espesor peak 4</t>
  </si>
  <si>
    <t>4 Peak 1.35 +/-0.15</t>
  </si>
  <si>
    <t>Espesor peak 5</t>
  </si>
  <si>
    <t>5 Peak 1.02 +/-0.15</t>
  </si>
  <si>
    <t>Espesor peak 6</t>
  </si>
  <si>
    <t>6 Peak 1.21 +/-0.15</t>
  </si>
  <si>
    <t>Espesor peak 7</t>
  </si>
  <si>
    <t>7 Peak 1.37+/-0.20</t>
  </si>
  <si>
    <t>Espesor peak 8</t>
  </si>
  <si>
    <t>Espesor peak 9</t>
  </si>
  <si>
    <t>Espesor root 1</t>
  </si>
  <si>
    <t>1 Root 1.22 +/-0.15</t>
  </si>
  <si>
    <t>Espesor root 2</t>
  </si>
  <si>
    <t>2 Root 1.24 +/-0.15</t>
  </si>
  <si>
    <t>Espesor root 3</t>
  </si>
  <si>
    <t>3 Root 1.3 +/-0.15</t>
  </si>
  <si>
    <t>Espesor root 4</t>
  </si>
  <si>
    <t>4 Root 1.14 +/-0.15</t>
  </si>
  <si>
    <t>Espesor root 5</t>
  </si>
  <si>
    <t>5 Root 1.19 +/-0.15</t>
  </si>
  <si>
    <t>Espesor root 6</t>
  </si>
  <si>
    <t>6 Root 1.20+/-0.20</t>
  </si>
  <si>
    <t>Espesor root 7</t>
  </si>
  <si>
    <t>Espesor root 8</t>
  </si>
  <si>
    <t>Espesor root 9</t>
  </si>
  <si>
    <t>Espesor de pared falda</t>
  </si>
  <si>
    <t>1 Thickness 1.45 +/-0.15</t>
  </si>
  <si>
    <t>Machine</t>
  </si>
  <si>
    <t>TPE150</t>
  </si>
  <si>
    <t>Espesor de pared cuello</t>
  </si>
  <si>
    <t>2 Thickness 2.00 +/-0.15</t>
  </si>
  <si>
    <t>KMX-CP-GKN-10411721</t>
  </si>
  <si>
    <t>pcs</t>
  </si>
  <si>
    <t>1106pcs</t>
  </si>
  <si>
    <t>NP</t>
  </si>
  <si>
    <t>Hora</t>
  </si>
  <si>
    <t>CalA</t>
  </si>
  <si>
    <t>CalB</t>
  </si>
  <si>
    <t>CalC</t>
  </si>
  <si>
    <t>RA</t>
  </si>
  <si>
    <t>RB</t>
  </si>
  <si>
    <t>RC</t>
  </si>
  <si>
    <t>P1A</t>
  </si>
  <si>
    <t>P1B</t>
  </si>
  <si>
    <t>P1C</t>
  </si>
  <si>
    <t>P1rA</t>
  </si>
  <si>
    <t>P1rB</t>
  </si>
  <si>
    <t>P1rC</t>
  </si>
  <si>
    <t>P2A</t>
  </si>
  <si>
    <t>P2B</t>
  </si>
  <si>
    <t>P2C</t>
  </si>
  <si>
    <t>P2rA</t>
  </si>
  <si>
    <t>P2rB</t>
  </si>
  <si>
    <t>P2rC</t>
  </si>
  <si>
    <t>P3A</t>
  </si>
  <si>
    <t>P3B</t>
  </si>
  <si>
    <t>P3C</t>
  </si>
  <si>
    <t>P3rA</t>
  </si>
  <si>
    <t>P3rB</t>
  </si>
  <si>
    <t>P3rC</t>
  </si>
  <si>
    <t>P4A</t>
  </si>
  <si>
    <t>P4B</t>
  </si>
  <si>
    <t>P4C</t>
  </si>
  <si>
    <t>P4rA</t>
  </si>
  <si>
    <t>P4rB</t>
  </si>
  <si>
    <t>P4rC</t>
  </si>
  <si>
    <t>P5A</t>
  </si>
  <si>
    <t>P5B</t>
  </si>
  <si>
    <t>P5C</t>
  </si>
  <si>
    <t>P5rA</t>
  </si>
  <si>
    <t>P5rB</t>
  </si>
  <si>
    <t>P5rC</t>
  </si>
  <si>
    <t>P6A</t>
  </si>
  <si>
    <t>P6B</t>
  </si>
  <si>
    <t>P6C</t>
  </si>
  <si>
    <t>P6rA</t>
  </si>
  <si>
    <t>P6rB</t>
  </si>
  <si>
    <t>P6rC</t>
  </si>
  <si>
    <t>P7A</t>
  </si>
  <si>
    <t>P7B</t>
  </si>
  <si>
    <t>P7C</t>
  </si>
  <si>
    <t>P7rA</t>
  </si>
  <si>
    <t>P7rB</t>
  </si>
  <si>
    <t>P7rC</t>
  </si>
  <si>
    <t>P8A</t>
  </si>
  <si>
    <t>P8B</t>
  </si>
  <si>
    <t>P8C</t>
  </si>
  <si>
    <t>P8rA</t>
  </si>
  <si>
    <t>P8rB</t>
  </si>
  <si>
    <t>P8rC</t>
  </si>
  <si>
    <t>P9A</t>
  </si>
  <si>
    <t>P9B</t>
  </si>
  <si>
    <t>P9C</t>
  </si>
  <si>
    <t>P9rA</t>
  </si>
  <si>
    <t>P9rB</t>
  </si>
  <si>
    <t>P9rC</t>
  </si>
  <si>
    <t>P10A</t>
  </si>
  <si>
    <t>P10B</t>
  </si>
  <si>
    <t>P10C</t>
  </si>
  <si>
    <t>P10rA</t>
  </si>
  <si>
    <t>P10rB</t>
  </si>
  <si>
    <t>P10rC</t>
  </si>
  <si>
    <t>P42A</t>
  </si>
  <si>
    <t>P42B</t>
  </si>
  <si>
    <t>P42C</t>
  </si>
  <si>
    <t>P42rA</t>
  </si>
  <si>
    <t>P42rB</t>
  </si>
  <si>
    <t>P42rC</t>
  </si>
  <si>
    <t>D1A</t>
  </si>
  <si>
    <t>D1B</t>
  </si>
  <si>
    <t>D1C</t>
  </si>
  <si>
    <t>D2A</t>
  </si>
  <si>
    <t>D2B</t>
  </si>
  <si>
    <t>D2C</t>
  </si>
  <si>
    <t>TPE10</t>
  </si>
  <si>
    <t>´01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</si>
</sst>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;_␀"/>
    <numFmt numFmtId="165" formatCode="0.00_ "/>
    <numFmt numFmtId="166" formatCode="0.00;_퐀"/>
    <numFmt numFmtId="167" formatCode="0.000"/>
    <numFmt numFmtId="168" formatCode="0.0000"/>
    <numFmt numFmtId="169" formatCode="yyyy\-mm\-dd;@"/>
  </numFmts>
  <fonts count="38">
    <font>
      <sz val="11"/>
      <name val="돋움"/>
      <family val="3"/>
      <charset val="129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28"/>
      <name val="Calibri"/>
      <family val="3"/>
      <charset val="129"/>
      <scheme val="minor"/>
    </font>
    <font>
      <sz val="10"/>
      <name val="Calibri"/>
      <family val="3"/>
      <charset val="129"/>
      <scheme val="minor"/>
    </font>
    <font>
      <sz val="14"/>
      <name val="Calibri"/>
      <family val="3"/>
      <charset val="129"/>
      <scheme val="minor"/>
    </font>
    <font>
      <b/>
      <sz val="14"/>
      <name val="Calibri"/>
      <family val="3"/>
      <charset val="129"/>
      <scheme val="minor"/>
    </font>
    <font>
      <sz val="16"/>
      <name val="Calibri"/>
      <family val="3"/>
      <charset val="129"/>
      <scheme val="minor"/>
    </font>
    <font>
      <sz val="14"/>
      <color theme="0" tint="-0.34998626667073579"/>
      <name val="Calibri"/>
      <family val="3"/>
      <charset val="129"/>
      <scheme val="minor"/>
    </font>
    <font>
      <b/>
      <sz val="18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b/>
      <sz val="14"/>
      <color rgb="FFFF0000"/>
      <name val="Calibri"/>
      <family val="3"/>
      <charset val="129"/>
      <scheme val="minor"/>
    </font>
    <font>
      <b/>
      <sz val="12"/>
      <name val="Calibri"/>
      <family val="3"/>
      <charset val="129"/>
      <scheme val="minor"/>
    </font>
    <font>
      <sz val="12"/>
      <name val="Calibri"/>
      <family val="3"/>
      <charset val="129"/>
      <scheme val="minor"/>
    </font>
    <font>
      <b/>
      <vertAlign val="subscript"/>
      <sz val="20"/>
      <name val="Calibri"/>
      <family val="3"/>
      <charset val="129"/>
      <scheme val="minor"/>
    </font>
    <font>
      <vertAlign val="subscript"/>
      <sz val="20"/>
      <name val="Calibri"/>
      <family val="3"/>
      <charset val="129"/>
      <scheme val="minor"/>
    </font>
    <font>
      <b/>
      <vertAlign val="subscript"/>
      <sz val="22"/>
      <name val="Calibri"/>
      <family val="2"/>
      <scheme val="minor"/>
    </font>
    <font>
      <b/>
      <sz val="10"/>
      <color theme="1"/>
      <name val="Calibri"/>
      <family val="2"/>
      <scheme val="minor"/>
    </font>
    <font>
      <vertAlign val="subscript"/>
      <sz val="20"/>
      <name val="Calibri"/>
      <family val="2"/>
      <scheme val="minor"/>
    </font>
    <font>
      <b/>
      <vertAlign val="subscript"/>
      <sz val="20"/>
      <name val="Calibri"/>
      <family val="2"/>
      <scheme val="minor"/>
    </font>
    <font>
      <sz val="11"/>
      <name val="돋움"/>
      <family val="3"/>
      <charset val="129"/>
    </font>
    <font>
      <b/>
      <sz val="13"/>
      <name val="Calibri"/>
      <family val="3"/>
      <charset val="129"/>
      <scheme val="minor"/>
    </font>
    <font>
      <sz val="8.5"/>
      <name val="Calibri"/>
      <family val="3"/>
      <charset val="129"/>
      <scheme val="minor"/>
    </font>
    <font>
      <sz val="7"/>
      <name val="Calibri"/>
      <family val="3"/>
      <charset val="129"/>
      <scheme val="minor"/>
    </font>
    <font>
      <sz val="11"/>
      <color rgb="FF000000"/>
      <name val="Calibri"/>
      <family val="2"/>
    </font>
    <font>
      <b/>
      <sz val="11"/>
      <name val="돋움"/>
    </font>
    <font>
      <b/>
      <i/>
      <sz val="11"/>
      <name val="돋움"/>
    </font>
    <font>
      <b/>
      <sz val="10.45"/>
      <color rgb="FF007BFF"/>
      <name val="Arial"/>
      <family val="2"/>
    </font>
    <font>
      <sz val="11"/>
      <color theme="0"/>
      <name val="돋움"/>
    </font>
    <font>
      <b/>
      <sz val="11"/>
      <color theme="0"/>
      <name val="돋움"/>
    </font>
    <font>
      <sz val="10"/>
      <name val="Arial"/>
      <family val="2"/>
    </font>
    <font>
      <b/>
      <sz val="10"/>
      <color theme="4" tint="-0.499984740745262"/>
      <name val="Arial"/>
      <family val="2"/>
    </font>
    <font>
      <b/>
      <i/>
      <sz val="11"/>
      <color theme="0"/>
      <name val="돋움"/>
    </font>
    <font>
      <b/>
      <sz val="9"/>
      <color theme="0"/>
      <name val="돋움"/>
    </font>
    <font>
      <sz val="18"/>
      <name val="Dreaming Outloud Script Pro"/>
      <family val="4"/>
    </font>
    <font>
      <sz val="18"/>
      <name val="Dreaming Outloud Pro"/>
      <family val="4"/>
    </font>
    <font>
      <sz val="11"/>
      <name val="Calibri"/>
      <family val="2"/>
      <scheme val="minor"/>
    </font>
    <font>
      <sz val="10.45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1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0C60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1" fillId="0" borderId="0"/>
    <xf numFmtId="0" fontId="30" fillId="0" borderId="0"/>
  </cellStyleXfs>
  <cellXfs count="141">
    <xf numFmtId="0" fontId="0" fillId="0" borderId="0" xfId="0">
      <alignment vertical="center"/>
    </xf>
    <xf numFmtId="0" fontId="4" fillId="0" borderId="0" xfId="1" applyFont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3" fontId="5" fillId="3" borderId="0" xfId="1" applyNumberFormat="1" applyFont="1" applyFill="1" applyAlignment="1" applyProtection="1">
      <alignment horizontal="center" vertical="center"/>
      <protection locked="0"/>
    </xf>
    <xf numFmtId="0" fontId="5" fillId="3" borderId="0" xfId="2" applyFont="1" applyFill="1" applyAlignment="1">
      <alignment horizontal="center" vertical="center"/>
    </xf>
    <xf numFmtId="0" fontId="6" fillId="3" borderId="0" xfId="1" applyFont="1" applyFill="1" applyAlignment="1" applyProtection="1">
      <alignment horizontal="center" vertical="center"/>
      <protection locked="0"/>
    </xf>
    <xf numFmtId="0" fontId="5" fillId="3" borderId="0" xfId="1" quotePrefix="1" applyFont="1" applyFill="1" applyAlignment="1" applyProtection="1">
      <alignment horizontal="center" vertical="center"/>
      <protection locked="0"/>
    </xf>
    <xf numFmtId="0" fontId="5" fillId="3" borderId="0" xfId="1" applyFont="1" applyFill="1" applyAlignment="1" applyProtection="1">
      <alignment horizontal="center" vertical="center"/>
      <protection locked="0"/>
    </xf>
    <xf numFmtId="0" fontId="6" fillId="3" borderId="0" xfId="1" applyFont="1" applyFill="1" applyAlignment="1">
      <alignment horizontal="center" vertical="center"/>
    </xf>
    <xf numFmtId="0" fontId="6" fillId="3" borderId="0" xfId="3" applyFont="1" applyFill="1" applyAlignment="1" applyProtection="1">
      <alignment horizontal="center" vertical="center"/>
      <protection locked="0"/>
    </xf>
    <xf numFmtId="0" fontId="5" fillId="3" borderId="0" xfId="4" applyFont="1" applyFill="1" applyAlignment="1">
      <alignment horizontal="center" vertical="center"/>
    </xf>
    <xf numFmtId="0" fontId="5" fillId="3" borderId="0" xfId="3" applyFont="1" applyFill="1" applyAlignment="1" applyProtection="1">
      <alignment horizontal="center" vertical="center"/>
      <protection locked="0"/>
    </xf>
    <xf numFmtId="0" fontId="9" fillId="3" borderId="0" xfId="1" applyFont="1" applyFill="1" applyAlignment="1">
      <alignment horizontal="center" vertical="center"/>
    </xf>
    <xf numFmtId="0" fontId="6" fillId="4" borderId="0" xfId="4" applyFont="1" applyFill="1" applyAlignment="1">
      <alignment horizontal="center" vertical="center"/>
    </xf>
    <xf numFmtId="0" fontId="4" fillId="3" borderId="0" xfId="3" applyFont="1" applyFill="1" applyAlignment="1">
      <alignment horizontal="center" vertical="center"/>
    </xf>
    <xf numFmtId="0" fontId="6" fillId="3" borderId="5" xfId="1" applyFont="1" applyFill="1" applyBorder="1" applyAlignment="1" applyProtection="1">
      <alignment horizontal="center" vertical="center"/>
      <protection locked="0"/>
    </xf>
    <xf numFmtId="0" fontId="10" fillId="3" borderId="20" xfId="1" applyFont="1" applyFill="1" applyBorder="1" applyAlignment="1" applyProtection="1">
      <alignment horizontal="center" vertical="center"/>
      <protection locked="0"/>
    </xf>
    <xf numFmtId="0" fontId="6" fillId="3" borderId="21" xfId="1" applyFont="1" applyFill="1" applyBorder="1" applyAlignment="1" applyProtection="1">
      <alignment horizontal="center" vertical="center"/>
      <protection locked="0"/>
    </xf>
    <xf numFmtId="0" fontId="10" fillId="3" borderId="21" xfId="1" applyFont="1" applyFill="1" applyBorder="1" applyAlignment="1" applyProtection="1">
      <alignment horizontal="center" vertical="center"/>
      <protection locked="0"/>
    </xf>
    <xf numFmtId="0" fontId="12" fillId="0" borderId="22" xfId="1" applyFont="1" applyBorder="1" applyAlignment="1" applyProtection="1">
      <alignment horizontal="center" vertical="center" wrapText="1"/>
      <protection locked="0"/>
    </xf>
    <xf numFmtId="0" fontId="12" fillId="0" borderId="23" xfId="1" applyFont="1" applyBorder="1" applyAlignment="1" applyProtection="1">
      <alignment horizontal="center" vertical="center" wrapText="1"/>
      <protection locked="0"/>
    </xf>
    <xf numFmtId="0" fontId="12" fillId="0" borderId="24" xfId="1" applyFont="1" applyBorder="1" applyAlignment="1" applyProtection="1">
      <alignment horizontal="center" vertical="center"/>
      <protection locked="0"/>
    </xf>
    <xf numFmtId="0" fontId="13" fillId="0" borderId="25" xfId="1" applyFont="1" applyBorder="1" applyAlignment="1" applyProtection="1">
      <alignment horizontal="center" vertical="center"/>
      <protection locked="0"/>
    </xf>
    <xf numFmtId="0" fontId="13" fillId="0" borderId="26" xfId="1" applyFont="1" applyBorder="1" applyAlignment="1" applyProtection="1">
      <alignment horizontal="center" vertical="center"/>
      <protection locked="0"/>
    </xf>
    <xf numFmtId="0" fontId="12" fillId="0" borderId="27" xfId="1" applyFont="1" applyBorder="1" applyAlignment="1" applyProtection="1">
      <alignment horizontal="center" vertical="center"/>
      <protection locked="0"/>
    </xf>
    <xf numFmtId="0" fontId="13" fillId="0" borderId="28" xfId="1" applyFont="1" applyBorder="1" applyAlignment="1" applyProtection="1">
      <alignment horizontal="center" vertical="center"/>
      <protection locked="0"/>
    </xf>
    <xf numFmtId="0" fontId="12" fillId="5" borderId="29" xfId="5" applyFont="1" applyFill="1" applyBorder="1" applyAlignment="1" applyProtection="1">
      <alignment horizontal="center" vertical="center" wrapText="1"/>
      <protection locked="0"/>
    </xf>
    <xf numFmtId="0" fontId="12" fillId="5" borderId="30" xfId="5" applyFont="1" applyFill="1" applyBorder="1" applyAlignment="1" applyProtection="1">
      <alignment horizontal="center" vertical="center" wrapText="1"/>
      <protection locked="0"/>
    </xf>
    <xf numFmtId="0" fontId="13" fillId="5" borderId="30" xfId="5" applyFont="1" applyFill="1" applyBorder="1" applyAlignment="1" applyProtection="1">
      <alignment horizontal="center" vertical="center"/>
      <protection locked="0"/>
    </xf>
    <xf numFmtId="0" fontId="13" fillId="0" borderId="33" xfId="5" applyFont="1" applyBorder="1" applyAlignment="1" applyProtection="1">
      <alignment horizontal="center" vertical="center"/>
      <protection locked="0"/>
    </xf>
    <xf numFmtId="0" fontId="13" fillId="0" borderId="34" xfId="5" applyFont="1" applyBorder="1" applyAlignment="1" applyProtection="1">
      <alignment horizontal="center" vertical="center"/>
      <protection locked="0"/>
    </xf>
    <xf numFmtId="0" fontId="4" fillId="0" borderId="0" xfId="5" applyFont="1" applyAlignment="1">
      <alignment horizontal="center" vertical="center"/>
    </xf>
    <xf numFmtId="0" fontId="12" fillId="0" borderId="35" xfId="1" applyFont="1" applyBorder="1" applyAlignment="1" applyProtection="1">
      <alignment horizontal="center" vertical="center"/>
      <protection locked="0"/>
    </xf>
    <xf numFmtId="0" fontId="12" fillId="3" borderId="24" xfId="1" applyFont="1" applyFill="1" applyBorder="1" applyAlignment="1" applyProtection="1">
      <alignment horizontal="center" vertical="center" wrapText="1"/>
      <protection locked="0"/>
    </xf>
    <xf numFmtId="164" fontId="15" fillId="0" borderId="25" xfId="1" applyNumberFormat="1" applyFont="1" applyBorder="1" applyAlignment="1" applyProtection="1">
      <alignment horizontal="center" vertical="top"/>
      <protection locked="0"/>
    </xf>
    <xf numFmtId="164" fontId="16" fillId="0" borderId="36" xfId="1" applyNumberFormat="1" applyFont="1" applyBorder="1" applyAlignment="1" applyProtection="1">
      <alignment horizontal="center" vertical="center"/>
      <protection locked="0"/>
    </xf>
    <xf numFmtId="165" fontId="15" fillId="0" borderId="27" xfId="1" applyNumberFormat="1" applyFont="1" applyBorder="1" applyAlignment="1" applyProtection="1">
      <alignment horizontal="center" vertical="top"/>
      <protection locked="0"/>
    </xf>
    <xf numFmtId="0" fontId="13" fillId="0" borderId="24" xfId="1" applyFont="1" applyBorder="1" applyAlignment="1" applyProtection="1">
      <alignment horizontal="center" vertical="center" wrapText="1"/>
      <protection locked="0"/>
    </xf>
    <xf numFmtId="2" fontId="17" fillId="0" borderId="26" xfId="1" applyNumberFormat="1" applyFont="1" applyBorder="1" applyAlignment="1" applyProtection="1">
      <alignment vertical="center"/>
      <protection locked="0"/>
    </xf>
    <xf numFmtId="0" fontId="4" fillId="0" borderId="28" xfId="1" applyFont="1" applyBorder="1" applyAlignment="1" applyProtection="1">
      <alignment horizontal="center" vertical="center"/>
      <protection locked="0"/>
    </xf>
    <xf numFmtId="0" fontId="12" fillId="6" borderId="35" xfId="1" applyFont="1" applyFill="1" applyBorder="1" applyAlignment="1" applyProtection="1">
      <alignment horizontal="center" vertical="center"/>
      <protection locked="0"/>
    </xf>
    <xf numFmtId="0" fontId="12" fillId="6" borderId="24" xfId="1" applyFont="1" applyFill="1" applyBorder="1" applyAlignment="1" applyProtection="1">
      <alignment horizontal="center" vertical="center"/>
      <protection locked="0"/>
    </xf>
    <xf numFmtId="164" fontId="18" fillId="6" borderId="25" xfId="1" applyNumberFormat="1" applyFont="1" applyFill="1" applyBorder="1" applyAlignment="1" applyProtection="1">
      <alignment horizontal="center" vertical="top"/>
      <protection locked="0"/>
    </xf>
    <xf numFmtId="164" fontId="16" fillId="6" borderId="37" xfId="1" applyNumberFormat="1" applyFont="1" applyFill="1" applyBorder="1" applyAlignment="1" applyProtection="1">
      <alignment horizontal="center" vertical="top"/>
      <protection locked="0"/>
    </xf>
    <xf numFmtId="164" fontId="18" fillId="6" borderId="38" xfId="1" applyNumberFormat="1" applyFont="1" applyFill="1" applyBorder="1" applyAlignment="1" applyProtection="1">
      <alignment horizontal="center" vertical="top"/>
      <protection locked="0"/>
    </xf>
    <xf numFmtId="0" fontId="13" fillId="6" borderId="24" xfId="1" applyFont="1" applyFill="1" applyBorder="1" applyAlignment="1" applyProtection="1">
      <alignment horizontal="center" vertical="center"/>
      <protection locked="0"/>
    </xf>
    <xf numFmtId="164" fontId="4" fillId="0" borderId="0" xfId="1" applyNumberFormat="1" applyFont="1" applyAlignment="1">
      <alignment horizontal="center" vertical="center"/>
    </xf>
    <xf numFmtId="0" fontId="13" fillId="0" borderId="24" xfId="1" applyFont="1" applyBorder="1" applyAlignment="1" applyProtection="1">
      <alignment horizontal="center" vertical="center"/>
      <protection locked="0"/>
    </xf>
    <xf numFmtId="0" fontId="12" fillId="3" borderId="35" xfId="1" applyFont="1" applyFill="1" applyBorder="1" applyAlignment="1" applyProtection="1">
      <alignment horizontal="center" vertical="center"/>
      <protection locked="0"/>
    </xf>
    <xf numFmtId="0" fontId="13" fillId="3" borderId="24" xfId="1" applyFont="1" applyFill="1" applyBorder="1" applyAlignment="1" applyProtection="1">
      <alignment horizontal="center" vertical="center"/>
      <protection locked="0"/>
    </xf>
    <xf numFmtId="0" fontId="12" fillId="5" borderId="39" xfId="1" applyFont="1" applyFill="1" applyBorder="1" applyAlignment="1" applyProtection="1">
      <alignment horizontal="center" vertical="center"/>
      <protection locked="0"/>
    </xf>
    <xf numFmtId="0" fontId="12" fillId="5" borderId="40" xfId="1" applyFont="1" applyFill="1" applyBorder="1" applyAlignment="1" applyProtection="1">
      <alignment horizontal="center" vertical="center"/>
      <protection locked="0"/>
    </xf>
    <xf numFmtId="0" fontId="13" fillId="5" borderId="40" xfId="1" applyFont="1" applyFill="1" applyBorder="1" applyAlignment="1" applyProtection="1">
      <alignment horizontal="center" vertical="center"/>
      <protection locked="0"/>
    </xf>
    <xf numFmtId="0" fontId="4" fillId="0" borderId="41" xfId="1" applyFont="1" applyBorder="1" applyAlignment="1" applyProtection="1">
      <alignment horizontal="center" vertical="center"/>
      <protection locked="0"/>
    </xf>
    <xf numFmtId="0" fontId="4" fillId="0" borderId="42" xfId="1" applyFont="1" applyBorder="1" applyAlignment="1" applyProtection="1">
      <alignment horizontal="center" vertical="center"/>
      <protection locked="0"/>
    </xf>
    <xf numFmtId="0" fontId="12" fillId="7" borderId="0" xfId="0" applyFont="1" applyFill="1" applyAlignment="1" applyProtection="1">
      <alignment horizontal="center" vertical="center"/>
      <protection locked="0"/>
    </xf>
    <xf numFmtId="166" fontId="13" fillId="3" borderId="0" xfId="3" applyNumberFormat="1" applyFont="1" applyFill="1" applyAlignment="1" applyProtection="1">
      <alignment horizontal="center" vertical="center"/>
      <protection locked="0"/>
    </xf>
    <xf numFmtId="166" fontId="21" fillId="3" borderId="0" xfId="3" applyNumberFormat="1" applyFont="1" applyFill="1" applyAlignment="1" applyProtection="1">
      <alignment horizontal="center" vertical="center"/>
      <protection locked="0"/>
    </xf>
    <xf numFmtId="0" fontId="13" fillId="3" borderId="0" xfId="1" applyFont="1" applyFill="1" applyAlignment="1" applyProtection="1">
      <alignment horizontal="center" vertical="center"/>
      <protection locked="0"/>
    </xf>
    <xf numFmtId="0" fontId="13" fillId="3" borderId="0" xfId="6" applyFont="1" applyFill="1" applyAlignment="1" applyProtection="1">
      <alignment horizontal="center" vertical="center" shrinkToFit="1"/>
      <protection locked="0"/>
    </xf>
    <xf numFmtId="0" fontId="4" fillId="3" borderId="0" xfId="1" applyFont="1" applyFill="1" applyAlignment="1" applyProtection="1">
      <alignment horizontal="center" vertical="center"/>
      <protection locked="0"/>
    </xf>
    <xf numFmtId="14" fontId="22" fillId="8" borderId="0" xfId="1" applyNumberFormat="1" applyFont="1" applyFill="1" applyAlignment="1">
      <alignment horizontal="center" vertical="center"/>
    </xf>
    <xf numFmtId="0" fontId="4" fillId="8" borderId="0" xfId="1" applyFont="1" applyFill="1" applyAlignment="1" applyProtection="1">
      <alignment horizontal="center" vertical="center"/>
      <protection locked="0"/>
    </xf>
    <xf numFmtId="0" fontId="4" fillId="8" borderId="0" xfId="1" applyFont="1" applyFill="1" applyAlignment="1">
      <alignment horizontal="center" vertical="center"/>
    </xf>
    <xf numFmtId="0" fontId="13" fillId="8" borderId="0" xfId="1" applyFont="1" applyFill="1" applyAlignment="1" applyProtection="1">
      <alignment horizontal="center" vertical="center"/>
      <protection locked="0"/>
    </xf>
    <xf numFmtId="0" fontId="23" fillId="8" borderId="0" xfId="1" applyFont="1" applyFill="1" applyAlignment="1">
      <alignment horizontal="center" vertical="center"/>
    </xf>
    <xf numFmtId="0" fontId="13" fillId="8" borderId="0" xfId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" fillId="0" borderId="0" xfId="7" applyAlignment="1">
      <alignment vertical="center"/>
    </xf>
    <xf numFmtId="0" fontId="25" fillId="0" borderId="0" xfId="7" applyFont="1" applyAlignment="1">
      <alignment horizontal="right" vertical="center"/>
    </xf>
    <xf numFmtId="0" fontId="26" fillId="0" borderId="0" xfId="7" applyFont="1" applyAlignment="1">
      <alignment horizontal="center" vertical="center"/>
    </xf>
    <xf numFmtId="0" fontId="1" fillId="0" borderId="0" xfId="7"/>
    <xf numFmtId="0" fontId="1" fillId="0" borderId="0" xfId="7" applyAlignment="1">
      <alignment horizontal="center" vertical="center"/>
    </xf>
    <xf numFmtId="2" fontId="1" fillId="0" borderId="0" xfId="7" applyNumberFormat="1" applyAlignment="1">
      <alignment horizontal="center" vertical="center"/>
    </xf>
    <xf numFmtId="0" fontId="27" fillId="0" borderId="0" xfId="7" applyFont="1" applyAlignment="1">
      <alignment horizontal="left" vertical="center" wrapText="1" indent="1"/>
    </xf>
    <xf numFmtId="0" fontId="27" fillId="9" borderId="0" xfId="7" applyFont="1" applyFill="1" applyAlignment="1">
      <alignment horizontal="left" vertical="center" wrapText="1" indent="1"/>
    </xf>
    <xf numFmtId="167" fontId="1" fillId="0" borderId="0" xfId="7" applyNumberFormat="1" applyAlignment="1">
      <alignment horizontal="center" vertical="center"/>
    </xf>
    <xf numFmtId="0" fontId="28" fillId="10" borderId="0" xfId="7" applyFont="1" applyFill="1" applyAlignment="1">
      <alignment vertical="center"/>
    </xf>
    <xf numFmtId="0" fontId="29" fillId="10" borderId="0" xfId="7" applyFont="1" applyFill="1" applyAlignment="1">
      <alignment horizontal="right" vertical="center"/>
    </xf>
    <xf numFmtId="0" fontId="26" fillId="11" borderId="0" xfId="7" applyFont="1" applyFill="1" applyAlignment="1">
      <alignment horizontal="center" vertical="center"/>
    </xf>
    <xf numFmtId="0" fontId="27" fillId="12" borderId="0" xfId="7" applyFont="1" applyFill="1" applyAlignment="1">
      <alignment horizontal="left" vertical="center" wrapText="1" indent="1"/>
    </xf>
    <xf numFmtId="0" fontId="31" fillId="13" borderId="0" xfId="8" applyFont="1" applyFill="1" applyAlignment="1">
      <alignment horizontal="center" wrapText="1"/>
    </xf>
    <xf numFmtId="167" fontId="30" fillId="14" borderId="24" xfId="8" applyNumberFormat="1" applyFill="1" applyBorder="1" applyAlignment="1" applyProtection="1">
      <alignment horizontal="center" vertical="top"/>
      <protection locked="0"/>
    </xf>
    <xf numFmtId="168" fontId="30" fillId="14" borderId="24" xfId="8" applyNumberFormat="1" applyFill="1" applyBorder="1" applyAlignment="1" applyProtection="1">
      <alignment horizontal="center" vertical="top"/>
      <protection locked="0"/>
    </xf>
    <xf numFmtId="2" fontId="30" fillId="14" borderId="24" xfId="8" applyNumberFormat="1" applyFill="1" applyBorder="1" applyAlignment="1" applyProtection="1">
      <alignment horizontal="center" vertical="top"/>
      <protection locked="0"/>
    </xf>
    <xf numFmtId="0" fontId="29" fillId="10" borderId="0" xfId="7" applyFont="1" applyFill="1" applyAlignment="1">
      <alignment vertical="center"/>
    </xf>
    <xf numFmtId="14" fontId="26" fillId="11" borderId="0" xfId="7" applyNumberFormat="1" applyFont="1" applyFill="1" applyAlignment="1">
      <alignment horizontal="center" vertical="center"/>
    </xf>
    <xf numFmtId="0" fontId="32" fillId="10" borderId="0" xfId="7" applyFont="1" applyFill="1" applyAlignment="1">
      <alignment horizontal="center" vertical="center"/>
    </xf>
    <xf numFmtId="168" fontId="26" fillId="11" borderId="0" xfId="7" applyNumberFormat="1" applyFont="1" applyFill="1" applyAlignment="1">
      <alignment horizontal="center" vertical="center"/>
    </xf>
    <xf numFmtId="169" fontId="26" fillId="11" borderId="0" xfId="7" applyNumberFormat="1" applyFont="1" applyFill="1" applyAlignment="1">
      <alignment horizontal="center" vertical="center"/>
    </xf>
    <xf numFmtId="0" fontId="33" fillId="10" borderId="0" xfId="7" applyFont="1" applyFill="1" applyAlignment="1">
      <alignment horizontal="right" vertical="center"/>
    </xf>
    <xf numFmtId="10" fontId="26" fillId="11" borderId="0" xfId="7" applyNumberFormat="1" applyFont="1" applyFill="1" applyAlignment="1">
      <alignment horizontal="center" vertical="center"/>
    </xf>
    <xf numFmtId="0" fontId="1" fillId="11" borderId="0" xfId="7" applyFill="1"/>
    <xf numFmtId="14" fontId="26" fillId="0" borderId="0" xfId="7" applyNumberFormat="1" applyFont="1" applyAlignment="1">
      <alignment horizontal="center"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2" fontId="35" fillId="4" borderId="24" xfId="1" applyNumberFormat="1" applyFont="1" applyFill="1" applyBorder="1" applyAlignment="1" applyProtection="1">
      <alignment horizontal="center" vertical="center"/>
      <protection locked="0"/>
    </xf>
    <xf numFmtId="2" fontId="13" fillId="0" borderId="32" xfId="5" applyNumberFormat="1" applyFont="1" applyBorder="1" applyAlignment="1" applyProtection="1">
      <alignment horizontal="center" vertical="center"/>
      <protection locked="0"/>
    </xf>
    <xf numFmtId="167" fontId="36" fillId="15" borderId="0" xfId="7" applyNumberFormat="1" applyFont="1" applyFill="1" applyAlignment="1">
      <alignment horizontal="center" vertical="center"/>
    </xf>
    <xf numFmtId="0" fontId="37" fillId="15" borderId="0" xfId="7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/>
    </xf>
    <xf numFmtId="0" fontId="37" fillId="3" borderId="0" xfId="7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center"/>
    </xf>
    <xf numFmtId="3" fontId="5" fillId="3" borderId="4" xfId="1" applyNumberFormat="1" applyFont="1" applyFill="1" applyBorder="1" applyAlignment="1" applyProtection="1">
      <alignment horizontal="center" vertical="center"/>
      <protection locked="0"/>
    </xf>
    <xf numFmtId="14" fontId="5" fillId="3" borderId="0" xfId="1" applyNumberFormat="1" applyFont="1" applyFill="1" applyAlignment="1">
      <alignment horizontal="center" vertical="center"/>
    </xf>
    <xf numFmtId="0" fontId="7" fillId="3" borderId="4" xfId="1" applyFont="1" applyFill="1" applyBorder="1" applyAlignment="1" applyProtection="1">
      <alignment horizontal="center" vertical="center"/>
      <protection locked="0"/>
    </xf>
    <xf numFmtId="0" fontId="5" fillId="3" borderId="5" xfId="2" applyFont="1" applyFill="1" applyBorder="1" applyAlignment="1">
      <alignment horizontal="center" vertical="center"/>
    </xf>
    <xf numFmtId="0" fontId="5" fillId="3" borderId="6" xfId="2" applyFont="1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/>
    </xf>
    <xf numFmtId="0" fontId="5" fillId="3" borderId="8" xfId="2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 shrinkToFit="1"/>
    </xf>
    <xf numFmtId="0" fontId="8" fillId="3" borderId="10" xfId="2" applyFont="1" applyFill="1" applyBorder="1" applyAlignment="1" applyProtection="1">
      <alignment horizontal="center" vertical="center"/>
      <protection locked="0"/>
    </xf>
    <xf numFmtId="0" fontId="8" fillId="3" borderId="11" xfId="2" applyFont="1" applyFill="1" applyBorder="1" applyAlignment="1" applyProtection="1">
      <alignment horizontal="center" vertical="center"/>
      <protection locked="0"/>
    </xf>
    <xf numFmtId="0" fontId="8" fillId="3" borderId="12" xfId="2" applyFont="1" applyFill="1" applyBorder="1" applyAlignment="1" applyProtection="1">
      <alignment horizontal="center" vertical="center"/>
      <protection locked="0"/>
    </xf>
    <xf numFmtId="0" fontId="6" fillId="3" borderId="13" xfId="2" applyFont="1" applyFill="1" applyBorder="1" applyAlignment="1" applyProtection="1">
      <alignment horizontal="center" vertical="center"/>
      <protection locked="0"/>
    </xf>
    <xf numFmtId="0" fontId="6" fillId="3" borderId="14" xfId="2" applyFont="1" applyFill="1" applyBorder="1" applyAlignment="1" applyProtection="1">
      <alignment horizontal="center" vertical="center"/>
      <protection locked="0"/>
    </xf>
    <xf numFmtId="167" fontId="34" fillId="4" borderId="15" xfId="2" applyNumberFormat="1" applyFont="1" applyFill="1" applyBorder="1" applyAlignment="1" applyProtection="1">
      <alignment horizontal="center" vertical="center"/>
      <protection locked="0"/>
    </xf>
    <xf numFmtId="167" fontId="34" fillId="4" borderId="16" xfId="2" applyNumberFormat="1" applyFont="1" applyFill="1" applyBorder="1" applyAlignment="1" applyProtection="1">
      <alignment horizontal="center" vertical="center"/>
      <protection locked="0"/>
    </xf>
    <xf numFmtId="167" fontId="34" fillId="4" borderId="17" xfId="2" applyNumberFormat="1" applyFont="1" applyFill="1" applyBorder="1" applyAlignment="1" applyProtection="1">
      <alignment horizontal="center" vertical="center"/>
      <protection locked="0"/>
    </xf>
    <xf numFmtId="0" fontId="11" fillId="4" borderId="9" xfId="1" applyFont="1" applyFill="1" applyBorder="1" applyAlignment="1" applyProtection="1">
      <alignment horizontal="center" vertical="center" wrapText="1"/>
      <protection locked="0"/>
    </xf>
    <xf numFmtId="0" fontId="11" fillId="4" borderId="12" xfId="1" applyFont="1" applyFill="1" applyBorder="1" applyAlignment="1" applyProtection="1">
      <alignment horizontal="center" vertical="center" wrapText="1"/>
      <protection locked="0"/>
    </xf>
    <xf numFmtId="0" fontId="6" fillId="3" borderId="18" xfId="1" applyFont="1" applyFill="1" applyBorder="1" applyAlignment="1" applyProtection="1">
      <alignment horizontal="center" vertical="center"/>
      <protection locked="0"/>
    </xf>
    <xf numFmtId="0" fontId="6" fillId="3" borderId="19" xfId="1" applyFont="1" applyFill="1" applyBorder="1" applyAlignment="1" applyProtection="1">
      <alignment horizontal="center" vertical="center"/>
      <protection locked="0"/>
    </xf>
    <xf numFmtId="0" fontId="6" fillId="3" borderId="6" xfId="1" applyFont="1" applyFill="1" applyBorder="1" applyAlignment="1" applyProtection="1">
      <alignment horizontal="center" vertical="center"/>
      <protection locked="0"/>
    </xf>
    <xf numFmtId="0" fontId="12" fillId="0" borderId="15" xfId="1" applyFont="1" applyBorder="1" applyAlignment="1" applyProtection="1">
      <alignment horizontal="center" vertical="center" wrapText="1"/>
      <protection locked="0"/>
    </xf>
    <xf numFmtId="0" fontId="12" fillId="0" borderId="16" xfId="1" applyFont="1" applyBorder="1" applyAlignment="1" applyProtection="1">
      <alignment horizontal="center" vertical="center" wrapText="1"/>
      <protection locked="0"/>
    </xf>
    <xf numFmtId="0" fontId="12" fillId="0" borderId="14" xfId="1" applyFont="1" applyBorder="1" applyAlignment="1" applyProtection="1">
      <alignment horizontal="center" vertical="center" wrapText="1"/>
      <protection locked="0"/>
    </xf>
    <xf numFmtId="164" fontId="14" fillId="5" borderId="25" xfId="1" applyNumberFormat="1" applyFont="1" applyFill="1" applyBorder="1" applyAlignment="1" applyProtection="1">
      <alignment horizontal="center" vertical="center"/>
      <protection locked="0"/>
    </xf>
    <xf numFmtId="164" fontId="14" fillId="5" borderId="31" xfId="1" applyNumberFormat="1" applyFont="1" applyFill="1" applyBorder="1" applyAlignment="1" applyProtection="1">
      <alignment horizontal="center" vertical="center"/>
      <protection locked="0"/>
    </xf>
    <xf numFmtId="164" fontId="14" fillId="5" borderId="27" xfId="1" applyNumberFormat="1" applyFont="1" applyFill="1" applyBorder="1" applyAlignment="1" applyProtection="1">
      <alignment horizontal="center" vertical="center"/>
      <protection locked="0"/>
    </xf>
    <xf numFmtId="164" fontId="19" fillId="6" borderId="24" xfId="1" applyNumberFormat="1" applyFont="1" applyFill="1" applyBorder="1" applyAlignment="1" applyProtection="1">
      <alignment horizontal="center" vertical="center"/>
      <protection locked="0"/>
    </xf>
    <xf numFmtId="0" fontId="4" fillId="8" borderId="0" xfId="1" applyFont="1" applyFill="1" applyAlignment="1" applyProtection="1">
      <alignment horizontal="center" vertical="center"/>
      <protection locked="0"/>
    </xf>
    <xf numFmtId="0" fontId="4" fillId="8" borderId="0" xfId="1" applyFont="1" applyFill="1" applyAlignment="1">
      <alignment horizontal="center" vertical="center"/>
    </xf>
  </cellXfs>
  <cellStyles count="9">
    <cellStyle name="Normal" xfId="0" builtinId="0"/>
    <cellStyle name="Normal 2" xfId="7" xr:uid="{46D3B718-D3E6-47D0-834B-5704AB1D1C8D}"/>
    <cellStyle name="Normal 2 2" xfId="8" xr:uid="{9865010A-FA4E-45B1-8E9B-4C4C559F057A}"/>
    <cellStyle name="표준_122AC1000-TPE Information for specific parts" xfId="1" xr:uid="{0DD49CBE-0ACE-45DE-858D-162F365EC627}"/>
    <cellStyle name="표준_122AF1000-TPE Information for specific parts" xfId="3" xr:uid="{9077463F-871D-425E-B605-83FB0A79558A}"/>
    <cellStyle name="표준_123AB1000-TPE Information for specific part" xfId="2" xr:uid="{E51027EC-74FB-444B-9710-36F58E2D9A17}"/>
    <cellStyle name="표준_123AN1000-TPE Information for specific parts" xfId="4" xr:uid="{B6ACF9AF-0E43-46CB-86F5-4BF889A1355A}"/>
    <cellStyle name="표준_141BE2000" xfId="5" xr:uid="{94E02225-D6D2-4F44-9400-484848C7485E}"/>
    <cellStyle name="표준_초품시트(GKN)" xfId="6" xr:uid="{0020F7F1-CF5C-4B09-ABF8-4D88194B3425}"/>
  </cellStyles>
  <dxfs count="1">
    <dxf>
      <fill>
        <patternFill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2133600</xdr:colOff>
      <xdr:row>9</xdr:row>
      <xdr:rowOff>38100</xdr:rowOff>
    </xdr:from>
    <xdr:to>
      <xdr:col>5</xdr:col>
      <xdr:colOff>2247900</xdr:colOff>
      <xdr:row>9</xdr:row>
      <xdr:rowOff>381000</xdr:rowOff>
    </xdr:to>
    <xdr:pic>
      <xdr:nvPicPr>
        <xdr:cNvPr id="2" name="Image 145">
          <a:extLst>
            <a:ext uri="{FF2B5EF4-FFF2-40B4-BE49-F238E27FC236}">
              <a16:creationId xmlns:a16="http://schemas.microsoft.com/office/drawing/2014/main" id="{720CE1A4-21AF-4337-AB28-142D08B87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53200" y="3914775"/>
          <a:ext cx="0" cy="3429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2143125</xdr:colOff>
      <xdr:row>23</xdr:row>
      <xdr:rowOff>19050</xdr:rowOff>
    </xdr:from>
    <xdr:to>
      <xdr:col>5</xdr:col>
      <xdr:colOff>2305050</xdr:colOff>
      <xdr:row>23</xdr:row>
      <xdr:rowOff>352425</xdr:rowOff>
    </xdr:to>
    <xdr:pic>
      <xdr:nvPicPr>
        <xdr:cNvPr id="3" name="Image 145">
          <a:extLst>
            <a:ext uri="{FF2B5EF4-FFF2-40B4-BE49-F238E27FC236}">
              <a16:creationId xmlns:a16="http://schemas.microsoft.com/office/drawing/2014/main" id="{E5792A18-07E2-4F49-BAF8-40FEDAAD8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53200" y="12163425"/>
          <a:ext cx="0" cy="3333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0</xdr:colOff>
      <xdr:row>24</xdr:row>
      <xdr:rowOff>9525</xdr:rowOff>
    </xdr:from>
    <xdr:to>
      <xdr:col>6</xdr:col>
      <xdr:colOff>0</xdr:colOff>
      <xdr:row>25</xdr:row>
      <xdr:rowOff>0</xdr:rowOff>
    </xdr:to>
    <xdr:grpSp>
      <xdr:nvGrpSpPr>
        <xdr:cNvPr id="4" name="Group 2">
          <a:extLst>
            <a:ext uri="{FF2B5EF4-FFF2-40B4-BE49-F238E27FC236}">
              <a16:creationId xmlns:a16="http://schemas.microsoft.com/office/drawing/2014/main" id="{C14FABDB-6B58-4AB5-B126-ED0C6616E71D}"/>
            </a:ext>
          </a:extLst>
        </xdr:cNvPr>
        <xdr:cNvGrpSpPr>
          <a:grpSpLocks/>
        </xdr:cNvGrpSpPr>
      </xdr:nvGrpSpPr>
      <xdr:grpSpPr bwMode="auto">
        <a:xfrm>
          <a:off x="6572250" y="12811125"/>
          <a:ext cx="0" cy="581025"/>
          <a:chOff x="-1993" y="-67825"/>
          <a:chExt cx="18252" cy="170"/>
        </a:xfrm>
      </xdr:grpSpPr>
      <xdr:sp macro="" textlink="">
        <xdr:nvSpPr>
          <xdr:cNvPr id="5" name="Rectangle 3">
            <a:extLst>
              <a:ext uri="{FF2B5EF4-FFF2-40B4-BE49-F238E27FC236}">
                <a16:creationId xmlns:a16="http://schemas.microsoft.com/office/drawing/2014/main" id="{A46FB417-9EFC-F634-17DB-B25730C4E31D}"/>
              </a:ext>
            </a:extLst>
          </xdr:cNvPr>
          <xdr:cNvSpPr>
            <a:spLocks noChangeArrowheads="1"/>
          </xdr:cNvSpPr>
        </xdr:nvSpPr>
        <xdr:spPr bwMode="auto">
          <a:xfrm>
            <a:off x="-1993" y="-67669"/>
            <a:ext cx="18252" cy="14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4">
            <a:extLst>
              <a:ext uri="{FF2B5EF4-FFF2-40B4-BE49-F238E27FC236}">
                <a16:creationId xmlns:a16="http://schemas.microsoft.com/office/drawing/2014/main" id="{05C0DD62-1559-F68D-F9C7-3FD1ACC38A1E}"/>
              </a:ext>
            </a:extLst>
          </xdr:cNvPr>
          <xdr:cNvSpPr>
            <a:spLocks noChangeArrowheads="1"/>
          </xdr:cNvSpPr>
        </xdr:nvSpPr>
        <xdr:spPr bwMode="auto">
          <a:xfrm>
            <a:off x="-589" y="-67689"/>
            <a:ext cx="15093" cy="2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Rectangle 5">
            <a:extLst>
              <a:ext uri="{FF2B5EF4-FFF2-40B4-BE49-F238E27FC236}">
                <a16:creationId xmlns:a16="http://schemas.microsoft.com/office/drawing/2014/main" id="{730D8AF3-6522-BDDF-B1A5-22C65868DB97}"/>
              </a:ext>
            </a:extLst>
          </xdr:cNvPr>
          <xdr:cNvSpPr>
            <a:spLocks noChangeArrowheads="1"/>
          </xdr:cNvSpPr>
        </xdr:nvSpPr>
        <xdr:spPr bwMode="auto">
          <a:xfrm>
            <a:off x="1166" y="-67737"/>
            <a:ext cx="11583" cy="48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Rectangle 6">
            <a:extLst>
              <a:ext uri="{FF2B5EF4-FFF2-40B4-BE49-F238E27FC236}">
                <a16:creationId xmlns:a16="http://schemas.microsoft.com/office/drawing/2014/main" id="{E070B9B8-ED8A-FA6B-8509-813822C14FCA}"/>
              </a:ext>
            </a:extLst>
          </xdr:cNvPr>
          <xdr:cNvSpPr>
            <a:spLocks noChangeArrowheads="1"/>
          </xdr:cNvSpPr>
        </xdr:nvSpPr>
        <xdr:spPr bwMode="auto">
          <a:xfrm>
            <a:off x="4676" y="-67823"/>
            <a:ext cx="4914" cy="8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" name="Line 7">
            <a:extLst>
              <a:ext uri="{FF2B5EF4-FFF2-40B4-BE49-F238E27FC236}">
                <a16:creationId xmlns:a16="http://schemas.microsoft.com/office/drawing/2014/main" id="{D29C8D54-4E2A-ED35-B638-7599A5134C87}"/>
              </a:ext>
            </a:extLst>
          </xdr:cNvPr>
          <xdr:cNvSpPr>
            <a:spLocks noChangeShapeType="1"/>
          </xdr:cNvSpPr>
        </xdr:nvSpPr>
        <xdr:spPr bwMode="auto">
          <a:xfrm flipV="1">
            <a:off x="4676" y="-67771"/>
            <a:ext cx="4914" cy="2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Line 8">
            <a:extLst>
              <a:ext uri="{FF2B5EF4-FFF2-40B4-BE49-F238E27FC236}">
                <a16:creationId xmlns:a16="http://schemas.microsoft.com/office/drawing/2014/main" id="{0B99DDA7-CCD8-E0F0-7934-944CB6472A1C}"/>
              </a:ext>
            </a:extLst>
          </xdr:cNvPr>
          <xdr:cNvSpPr>
            <a:spLocks noChangeShapeType="1"/>
          </xdr:cNvSpPr>
        </xdr:nvSpPr>
        <xdr:spPr bwMode="auto">
          <a:xfrm flipV="1">
            <a:off x="4676" y="-67783"/>
            <a:ext cx="4914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" name="Line 9">
            <a:extLst>
              <a:ext uri="{FF2B5EF4-FFF2-40B4-BE49-F238E27FC236}">
                <a16:creationId xmlns:a16="http://schemas.microsoft.com/office/drawing/2014/main" id="{8D64E5AC-68D0-B88D-C25C-BEB69EC9BE83}"/>
              </a:ext>
            </a:extLst>
          </xdr:cNvPr>
          <xdr:cNvSpPr>
            <a:spLocks noChangeShapeType="1"/>
          </xdr:cNvSpPr>
        </xdr:nvSpPr>
        <xdr:spPr bwMode="auto">
          <a:xfrm flipV="1">
            <a:off x="4676" y="-67799"/>
            <a:ext cx="4914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" name="Line 10">
            <a:extLst>
              <a:ext uri="{FF2B5EF4-FFF2-40B4-BE49-F238E27FC236}">
                <a16:creationId xmlns:a16="http://schemas.microsoft.com/office/drawing/2014/main" id="{7C16C9C8-343A-4C6C-B42B-2B5EE05CD121}"/>
              </a:ext>
            </a:extLst>
          </xdr:cNvPr>
          <xdr:cNvSpPr>
            <a:spLocks noChangeShapeType="1"/>
          </xdr:cNvSpPr>
        </xdr:nvSpPr>
        <xdr:spPr bwMode="auto">
          <a:xfrm flipV="1">
            <a:off x="4676" y="-67815"/>
            <a:ext cx="4914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Line 11">
            <a:extLst>
              <a:ext uri="{FF2B5EF4-FFF2-40B4-BE49-F238E27FC236}">
                <a16:creationId xmlns:a16="http://schemas.microsoft.com/office/drawing/2014/main" id="{C5B34020-64D7-9EA5-11F1-1E672D163DC2}"/>
              </a:ext>
            </a:extLst>
          </xdr:cNvPr>
          <xdr:cNvSpPr>
            <a:spLocks noChangeShapeType="1"/>
          </xdr:cNvSpPr>
        </xdr:nvSpPr>
        <xdr:spPr bwMode="auto">
          <a:xfrm flipV="1">
            <a:off x="4676" y="-67825"/>
            <a:ext cx="4914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4" name="Line 12">
            <a:extLst>
              <a:ext uri="{FF2B5EF4-FFF2-40B4-BE49-F238E27FC236}">
                <a16:creationId xmlns:a16="http://schemas.microsoft.com/office/drawing/2014/main" id="{09B853D4-2529-406B-9751-D776A94187DB}"/>
              </a:ext>
            </a:extLst>
          </xdr:cNvPr>
          <xdr:cNvSpPr>
            <a:spLocks noChangeShapeType="1"/>
          </xdr:cNvSpPr>
        </xdr:nvSpPr>
        <xdr:spPr bwMode="auto">
          <a:xfrm flipV="1">
            <a:off x="4676" y="-67765"/>
            <a:ext cx="5265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5" name="Line 13">
            <a:extLst>
              <a:ext uri="{FF2B5EF4-FFF2-40B4-BE49-F238E27FC236}">
                <a16:creationId xmlns:a16="http://schemas.microsoft.com/office/drawing/2014/main" id="{F9C39976-D0EE-0DF0-B74D-C7DAF0FAA2D5}"/>
              </a:ext>
            </a:extLst>
          </xdr:cNvPr>
          <xdr:cNvSpPr>
            <a:spLocks noChangeShapeType="1"/>
          </xdr:cNvSpPr>
        </xdr:nvSpPr>
        <xdr:spPr bwMode="auto">
          <a:xfrm flipV="1">
            <a:off x="4676" y="-67823"/>
            <a:ext cx="3159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Line 14">
            <a:extLst>
              <a:ext uri="{FF2B5EF4-FFF2-40B4-BE49-F238E27FC236}">
                <a16:creationId xmlns:a16="http://schemas.microsoft.com/office/drawing/2014/main" id="{A8F10FD5-04C8-A68A-7CE7-CA49A7180E5B}"/>
              </a:ext>
            </a:extLst>
          </xdr:cNvPr>
          <xdr:cNvSpPr>
            <a:spLocks noChangeShapeType="1"/>
          </xdr:cNvSpPr>
        </xdr:nvSpPr>
        <xdr:spPr bwMode="auto">
          <a:xfrm flipV="1">
            <a:off x="7835" y="-67749"/>
            <a:ext cx="2106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6</xdr:col>
      <xdr:colOff>0</xdr:colOff>
      <xdr:row>24</xdr:row>
      <xdr:rowOff>9525</xdr:rowOff>
    </xdr:from>
    <xdr:to>
      <xdr:col>6</xdr:col>
      <xdr:colOff>0</xdr:colOff>
      <xdr:row>24</xdr:row>
      <xdr:rowOff>381000</xdr:rowOff>
    </xdr:to>
    <xdr:grpSp>
      <xdr:nvGrpSpPr>
        <xdr:cNvPr id="17" name="Group 2">
          <a:extLst>
            <a:ext uri="{FF2B5EF4-FFF2-40B4-BE49-F238E27FC236}">
              <a16:creationId xmlns:a16="http://schemas.microsoft.com/office/drawing/2014/main" id="{92218238-75F2-4668-BEB8-4B79128E2BEA}"/>
            </a:ext>
          </a:extLst>
        </xdr:cNvPr>
        <xdr:cNvGrpSpPr>
          <a:grpSpLocks/>
        </xdr:cNvGrpSpPr>
      </xdr:nvGrpSpPr>
      <xdr:grpSpPr bwMode="auto">
        <a:xfrm>
          <a:off x="6572250" y="12811125"/>
          <a:ext cx="0" cy="371475"/>
          <a:chOff x="-1993" y="-67825"/>
          <a:chExt cx="18252" cy="170"/>
        </a:xfrm>
      </xdr:grpSpPr>
      <xdr:sp macro="" textlink="">
        <xdr:nvSpPr>
          <xdr:cNvPr id="18" name="Rectangle 3">
            <a:extLst>
              <a:ext uri="{FF2B5EF4-FFF2-40B4-BE49-F238E27FC236}">
                <a16:creationId xmlns:a16="http://schemas.microsoft.com/office/drawing/2014/main" id="{5D12BA19-BC6C-E28E-291E-3D79BB2C9D01}"/>
              </a:ext>
            </a:extLst>
          </xdr:cNvPr>
          <xdr:cNvSpPr>
            <a:spLocks noChangeArrowheads="1"/>
          </xdr:cNvSpPr>
        </xdr:nvSpPr>
        <xdr:spPr bwMode="auto">
          <a:xfrm>
            <a:off x="-1993" y="-67669"/>
            <a:ext cx="18252" cy="14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" name="Rectangle 4">
            <a:extLst>
              <a:ext uri="{FF2B5EF4-FFF2-40B4-BE49-F238E27FC236}">
                <a16:creationId xmlns:a16="http://schemas.microsoft.com/office/drawing/2014/main" id="{72DE3A36-D7C9-37C2-1C55-5D967C18C22B}"/>
              </a:ext>
            </a:extLst>
          </xdr:cNvPr>
          <xdr:cNvSpPr>
            <a:spLocks noChangeArrowheads="1"/>
          </xdr:cNvSpPr>
        </xdr:nvSpPr>
        <xdr:spPr bwMode="auto">
          <a:xfrm>
            <a:off x="-589" y="-67689"/>
            <a:ext cx="15093" cy="2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" name="Rectangle 5">
            <a:extLst>
              <a:ext uri="{FF2B5EF4-FFF2-40B4-BE49-F238E27FC236}">
                <a16:creationId xmlns:a16="http://schemas.microsoft.com/office/drawing/2014/main" id="{B065AF50-05D6-82FF-BA63-F2950034E520}"/>
              </a:ext>
            </a:extLst>
          </xdr:cNvPr>
          <xdr:cNvSpPr>
            <a:spLocks noChangeArrowheads="1"/>
          </xdr:cNvSpPr>
        </xdr:nvSpPr>
        <xdr:spPr bwMode="auto">
          <a:xfrm>
            <a:off x="1166" y="-67737"/>
            <a:ext cx="11583" cy="48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1" name="Rectangle 6">
            <a:extLst>
              <a:ext uri="{FF2B5EF4-FFF2-40B4-BE49-F238E27FC236}">
                <a16:creationId xmlns:a16="http://schemas.microsoft.com/office/drawing/2014/main" id="{ED5DCD5C-FEC5-4F98-6C5C-244FFB8544F2}"/>
              </a:ext>
            </a:extLst>
          </xdr:cNvPr>
          <xdr:cNvSpPr>
            <a:spLocks noChangeArrowheads="1"/>
          </xdr:cNvSpPr>
        </xdr:nvSpPr>
        <xdr:spPr bwMode="auto">
          <a:xfrm>
            <a:off x="4676" y="-67823"/>
            <a:ext cx="4914" cy="8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2" name="Line 7">
            <a:extLst>
              <a:ext uri="{FF2B5EF4-FFF2-40B4-BE49-F238E27FC236}">
                <a16:creationId xmlns:a16="http://schemas.microsoft.com/office/drawing/2014/main" id="{8C09E9B5-EC84-DA5F-E1C7-11622EE66D92}"/>
              </a:ext>
            </a:extLst>
          </xdr:cNvPr>
          <xdr:cNvSpPr>
            <a:spLocks noChangeShapeType="1"/>
          </xdr:cNvSpPr>
        </xdr:nvSpPr>
        <xdr:spPr bwMode="auto">
          <a:xfrm flipV="1">
            <a:off x="4676" y="-67771"/>
            <a:ext cx="4914" cy="2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3" name="Line 8">
            <a:extLst>
              <a:ext uri="{FF2B5EF4-FFF2-40B4-BE49-F238E27FC236}">
                <a16:creationId xmlns:a16="http://schemas.microsoft.com/office/drawing/2014/main" id="{E5D486AC-49C0-9086-4468-070466550A85}"/>
              </a:ext>
            </a:extLst>
          </xdr:cNvPr>
          <xdr:cNvSpPr>
            <a:spLocks noChangeShapeType="1"/>
          </xdr:cNvSpPr>
        </xdr:nvSpPr>
        <xdr:spPr bwMode="auto">
          <a:xfrm flipV="1">
            <a:off x="4676" y="-67783"/>
            <a:ext cx="4914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9">
            <a:extLst>
              <a:ext uri="{FF2B5EF4-FFF2-40B4-BE49-F238E27FC236}">
                <a16:creationId xmlns:a16="http://schemas.microsoft.com/office/drawing/2014/main" id="{09CED343-F0C8-BC82-DCF1-9022A2AEFEB6}"/>
              </a:ext>
            </a:extLst>
          </xdr:cNvPr>
          <xdr:cNvSpPr>
            <a:spLocks noChangeShapeType="1"/>
          </xdr:cNvSpPr>
        </xdr:nvSpPr>
        <xdr:spPr bwMode="auto">
          <a:xfrm flipV="1">
            <a:off x="4676" y="-67799"/>
            <a:ext cx="4914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" name="Line 10">
            <a:extLst>
              <a:ext uri="{FF2B5EF4-FFF2-40B4-BE49-F238E27FC236}">
                <a16:creationId xmlns:a16="http://schemas.microsoft.com/office/drawing/2014/main" id="{16FE8843-5E13-44D1-EA21-C0B51FD8BDEA}"/>
              </a:ext>
            </a:extLst>
          </xdr:cNvPr>
          <xdr:cNvSpPr>
            <a:spLocks noChangeShapeType="1"/>
          </xdr:cNvSpPr>
        </xdr:nvSpPr>
        <xdr:spPr bwMode="auto">
          <a:xfrm flipV="1">
            <a:off x="4676" y="-67815"/>
            <a:ext cx="4914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" name="Line 11">
            <a:extLst>
              <a:ext uri="{FF2B5EF4-FFF2-40B4-BE49-F238E27FC236}">
                <a16:creationId xmlns:a16="http://schemas.microsoft.com/office/drawing/2014/main" id="{50930586-1514-BCB8-12EE-AAF077619BC4}"/>
              </a:ext>
            </a:extLst>
          </xdr:cNvPr>
          <xdr:cNvSpPr>
            <a:spLocks noChangeShapeType="1"/>
          </xdr:cNvSpPr>
        </xdr:nvSpPr>
        <xdr:spPr bwMode="auto">
          <a:xfrm flipV="1">
            <a:off x="4676" y="-67825"/>
            <a:ext cx="4914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7" name="Line 12">
            <a:extLst>
              <a:ext uri="{FF2B5EF4-FFF2-40B4-BE49-F238E27FC236}">
                <a16:creationId xmlns:a16="http://schemas.microsoft.com/office/drawing/2014/main" id="{A9786553-EBA9-EFD3-8AD7-2B76781C2C25}"/>
              </a:ext>
            </a:extLst>
          </xdr:cNvPr>
          <xdr:cNvSpPr>
            <a:spLocks noChangeShapeType="1"/>
          </xdr:cNvSpPr>
        </xdr:nvSpPr>
        <xdr:spPr bwMode="auto">
          <a:xfrm flipV="1">
            <a:off x="4676" y="-67765"/>
            <a:ext cx="5265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" name="Line 13">
            <a:extLst>
              <a:ext uri="{FF2B5EF4-FFF2-40B4-BE49-F238E27FC236}">
                <a16:creationId xmlns:a16="http://schemas.microsoft.com/office/drawing/2014/main" id="{110EEBDA-D72E-3860-291A-620D2E6B0D30}"/>
              </a:ext>
            </a:extLst>
          </xdr:cNvPr>
          <xdr:cNvSpPr>
            <a:spLocks noChangeShapeType="1"/>
          </xdr:cNvSpPr>
        </xdr:nvSpPr>
        <xdr:spPr bwMode="auto">
          <a:xfrm flipV="1">
            <a:off x="4676" y="-67823"/>
            <a:ext cx="3159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" name="Line 14">
            <a:extLst>
              <a:ext uri="{FF2B5EF4-FFF2-40B4-BE49-F238E27FC236}">
                <a16:creationId xmlns:a16="http://schemas.microsoft.com/office/drawing/2014/main" id="{C9AA11C5-14BC-0A10-7358-D1F9F4EEC50A}"/>
              </a:ext>
            </a:extLst>
          </xdr:cNvPr>
          <xdr:cNvSpPr>
            <a:spLocks noChangeShapeType="1"/>
          </xdr:cNvSpPr>
        </xdr:nvSpPr>
        <xdr:spPr bwMode="auto">
          <a:xfrm flipV="1">
            <a:off x="7835" y="-67749"/>
            <a:ext cx="2106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5</xdr:col>
      <xdr:colOff>1428750</xdr:colOff>
      <xdr:row>23</xdr:row>
      <xdr:rowOff>19050</xdr:rowOff>
    </xdr:from>
    <xdr:to>
      <xdr:col>5</xdr:col>
      <xdr:colOff>1612900</xdr:colOff>
      <xdr:row>23</xdr:row>
      <xdr:rowOff>571500</xdr:rowOff>
    </xdr:to>
    <xdr:pic>
      <xdr:nvPicPr>
        <xdr:cNvPr id="30" name="Image 145">
          <a:extLst>
            <a:ext uri="{FF2B5EF4-FFF2-40B4-BE49-F238E27FC236}">
              <a16:creationId xmlns:a16="http://schemas.microsoft.com/office/drawing/2014/main" id="{B47F51F6-F658-48BC-947C-F950D9575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53175" y="12163425"/>
          <a:ext cx="184150" cy="5524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1314450</xdr:colOff>
      <xdr:row>24</xdr:row>
      <xdr:rowOff>76200</xdr:rowOff>
    </xdr:from>
    <xdr:to>
      <xdr:col>6</xdr:col>
      <xdr:colOff>0</xdr:colOff>
      <xdr:row>24</xdr:row>
      <xdr:rowOff>447675</xdr:rowOff>
    </xdr:to>
    <xdr:grpSp>
      <xdr:nvGrpSpPr>
        <xdr:cNvPr id="31" name="Group 2">
          <a:extLst>
            <a:ext uri="{FF2B5EF4-FFF2-40B4-BE49-F238E27FC236}">
              <a16:creationId xmlns:a16="http://schemas.microsoft.com/office/drawing/2014/main" id="{2C25E492-0060-4125-AFD6-AB034EB23171}"/>
            </a:ext>
          </a:extLst>
        </xdr:cNvPr>
        <xdr:cNvGrpSpPr>
          <a:grpSpLocks/>
        </xdr:cNvGrpSpPr>
      </xdr:nvGrpSpPr>
      <xdr:grpSpPr bwMode="auto">
        <a:xfrm>
          <a:off x="6248400" y="12877800"/>
          <a:ext cx="323850" cy="371475"/>
          <a:chOff x="-1993" y="-67825"/>
          <a:chExt cx="18252" cy="170"/>
        </a:xfrm>
      </xdr:grpSpPr>
      <xdr:sp macro="" textlink="">
        <xdr:nvSpPr>
          <xdr:cNvPr id="32" name="Rectangle 3">
            <a:extLst>
              <a:ext uri="{FF2B5EF4-FFF2-40B4-BE49-F238E27FC236}">
                <a16:creationId xmlns:a16="http://schemas.microsoft.com/office/drawing/2014/main" id="{C44182DD-F59F-28AD-8060-064641FB52ED}"/>
              </a:ext>
            </a:extLst>
          </xdr:cNvPr>
          <xdr:cNvSpPr>
            <a:spLocks noChangeArrowheads="1"/>
          </xdr:cNvSpPr>
        </xdr:nvSpPr>
        <xdr:spPr bwMode="auto">
          <a:xfrm>
            <a:off x="-1993" y="-67669"/>
            <a:ext cx="18252" cy="14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3" name="Rectangle 4">
            <a:extLst>
              <a:ext uri="{FF2B5EF4-FFF2-40B4-BE49-F238E27FC236}">
                <a16:creationId xmlns:a16="http://schemas.microsoft.com/office/drawing/2014/main" id="{33F25060-3761-B89A-61E6-7BF78DC3CEAB}"/>
              </a:ext>
            </a:extLst>
          </xdr:cNvPr>
          <xdr:cNvSpPr>
            <a:spLocks noChangeArrowheads="1"/>
          </xdr:cNvSpPr>
        </xdr:nvSpPr>
        <xdr:spPr bwMode="auto">
          <a:xfrm>
            <a:off x="-589" y="-67689"/>
            <a:ext cx="15093" cy="2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" name="Rectangle 5">
            <a:extLst>
              <a:ext uri="{FF2B5EF4-FFF2-40B4-BE49-F238E27FC236}">
                <a16:creationId xmlns:a16="http://schemas.microsoft.com/office/drawing/2014/main" id="{6B0EE1A7-57EF-2CD6-7697-62A7E36459BC}"/>
              </a:ext>
            </a:extLst>
          </xdr:cNvPr>
          <xdr:cNvSpPr>
            <a:spLocks noChangeArrowheads="1"/>
          </xdr:cNvSpPr>
        </xdr:nvSpPr>
        <xdr:spPr bwMode="auto">
          <a:xfrm>
            <a:off x="1166" y="-67737"/>
            <a:ext cx="11583" cy="48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5" name="Rectangle 6">
            <a:extLst>
              <a:ext uri="{FF2B5EF4-FFF2-40B4-BE49-F238E27FC236}">
                <a16:creationId xmlns:a16="http://schemas.microsoft.com/office/drawing/2014/main" id="{4DD7806A-1BDF-E5F7-35DB-B874F1A2D1D0}"/>
              </a:ext>
            </a:extLst>
          </xdr:cNvPr>
          <xdr:cNvSpPr>
            <a:spLocks noChangeArrowheads="1"/>
          </xdr:cNvSpPr>
        </xdr:nvSpPr>
        <xdr:spPr bwMode="auto">
          <a:xfrm>
            <a:off x="4676" y="-67823"/>
            <a:ext cx="4914" cy="8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6" name="Line 7">
            <a:extLst>
              <a:ext uri="{FF2B5EF4-FFF2-40B4-BE49-F238E27FC236}">
                <a16:creationId xmlns:a16="http://schemas.microsoft.com/office/drawing/2014/main" id="{53393C6D-D215-513D-0967-140413E7BD4D}"/>
              </a:ext>
            </a:extLst>
          </xdr:cNvPr>
          <xdr:cNvSpPr>
            <a:spLocks noChangeShapeType="1"/>
          </xdr:cNvSpPr>
        </xdr:nvSpPr>
        <xdr:spPr bwMode="auto">
          <a:xfrm flipV="1">
            <a:off x="4676" y="-67771"/>
            <a:ext cx="4914" cy="2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" name="Line 8">
            <a:extLst>
              <a:ext uri="{FF2B5EF4-FFF2-40B4-BE49-F238E27FC236}">
                <a16:creationId xmlns:a16="http://schemas.microsoft.com/office/drawing/2014/main" id="{55A4F83B-9C81-AEC2-431D-FED323E6C0C3}"/>
              </a:ext>
            </a:extLst>
          </xdr:cNvPr>
          <xdr:cNvSpPr>
            <a:spLocks noChangeShapeType="1"/>
          </xdr:cNvSpPr>
        </xdr:nvSpPr>
        <xdr:spPr bwMode="auto">
          <a:xfrm flipV="1">
            <a:off x="4676" y="-67783"/>
            <a:ext cx="4914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8" name="Line 9">
            <a:extLst>
              <a:ext uri="{FF2B5EF4-FFF2-40B4-BE49-F238E27FC236}">
                <a16:creationId xmlns:a16="http://schemas.microsoft.com/office/drawing/2014/main" id="{6F69082D-E833-B91A-AF8C-8891872F1B14}"/>
              </a:ext>
            </a:extLst>
          </xdr:cNvPr>
          <xdr:cNvSpPr>
            <a:spLocks noChangeShapeType="1"/>
          </xdr:cNvSpPr>
        </xdr:nvSpPr>
        <xdr:spPr bwMode="auto">
          <a:xfrm flipV="1">
            <a:off x="4676" y="-67799"/>
            <a:ext cx="4914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9" name="Line 10">
            <a:extLst>
              <a:ext uri="{FF2B5EF4-FFF2-40B4-BE49-F238E27FC236}">
                <a16:creationId xmlns:a16="http://schemas.microsoft.com/office/drawing/2014/main" id="{A90FC250-36A4-09D1-EB1E-EA9676E6CF61}"/>
              </a:ext>
            </a:extLst>
          </xdr:cNvPr>
          <xdr:cNvSpPr>
            <a:spLocks noChangeShapeType="1"/>
          </xdr:cNvSpPr>
        </xdr:nvSpPr>
        <xdr:spPr bwMode="auto">
          <a:xfrm flipV="1">
            <a:off x="4676" y="-67815"/>
            <a:ext cx="4914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0" name="Line 11">
            <a:extLst>
              <a:ext uri="{FF2B5EF4-FFF2-40B4-BE49-F238E27FC236}">
                <a16:creationId xmlns:a16="http://schemas.microsoft.com/office/drawing/2014/main" id="{5452D685-69A6-6641-B62D-341DE8E93303}"/>
              </a:ext>
            </a:extLst>
          </xdr:cNvPr>
          <xdr:cNvSpPr>
            <a:spLocks noChangeShapeType="1"/>
          </xdr:cNvSpPr>
        </xdr:nvSpPr>
        <xdr:spPr bwMode="auto">
          <a:xfrm flipV="1">
            <a:off x="4676" y="-67825"/>
            <a:ext cx="4914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" name="Line 12">
            <a:extLst>
              <a:ext uri="{FF2B5EF4-FFF2-40B4-BE49-F238E27FC236}">
                <a16:creationId xmlns:a16="http://schemas.microsoft.com/office/drawing/2014/main" id="{F3B44C07-703F-C7AC-1B4A-9DE280539B20}"/>
              </a:ext>
            </a:extLst>
          </xdr:cNvPr>
          <xdr:cNvSpPr>
            <a:spLocks noChangeShapeType="1"/>
          </xdr:cNvSpPr>
        </xdr:nvSpPr>
        <xdr:spPr bwMode="auto">
          <a:xfrm flipV="1">
            <a:off x="4676" y="-67765"/>
            <a:ext cx="5265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" name="Line 13">
            <a:extLst>
              <a:ext uri="{FF2B5EF4-FFF2-40B4-BE49-F238E27FC236}">
                <a16:creationId xmlns:a16="http://schemas.microsoft.com/office/drawing/2014/main" id="{92A760C5-ABE0-B958-BDAD-D60374FFAE9D}"/>
              </a:ext>
            </a:extLst>
          </xdr:cNvPr>
          <xdr:cNvSpPr>
            <a:spLocks noChangeShapeType="1"/>
          </xdr:cNvSpPr>
        </xdr:nvSpPr>
        <xdr:spPr bwMode="auto">
          <a:xfrm flipV="1">
            <a:off x="4676" y="-67823"/>
            <a:ext cx="3159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3" name="Line 14">
            <a:extLst>
              <a:ext uri="{FF2B5EF4-FFF2-40B4-BE49-F238E27FC236}">
                <a16:creationId xmlns:a16="http://schemas.microsoft.com/office/drawing/2014/main" id="{FA4E3B75-0122-AA09-424E-59E2FF74AEE8}"/>
              </a:ext>
            </a:extLst>
          </xdr:cNvPr>
          <xdr:cNvSpPr>
            <a:spLocks noChangeShapeType="1"/>
          </xdr:cNvSpPr>
        </xdr:nvSpPr>
        <xdr:spPr bwMode="auto">
          <a:xfrm flipV="1">
            <a:off x="7835" y="-67749"/>
            <a:ext cx="2106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unhwa\OneDrive\Escritorio\10433939%2014DAJ9%20ind%2056\02.%20PPAP%20EDIT\11)%20Initial%20Process%20Studies%20Cpk\CPK%2010433939%20rev%204.xlsx" TargetMode="External"/><Relationship Id="rId1" Type="http://schemas.openxmlformats.org/officeDocument/2006/relationships/externalLinkPath" Target="file:///C:\Users\Kunhwa\OneDrive\Escritorio\10433939%2014DAJ9%20ind%2056\02.%20PPAP%20EDIT\11)%20Initial%20Process%20Studies%20Cpk\CPK%2010433939%20rev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m excel"/>
      <sheetName val="Cpk AIAG (112.5) Weight (2)"/>
      <sheetName val="Weight"/>
      <sheetName val=" PEAK 1"/>
      <sheetName val="PEAK 2"/>
      <sheetName val="PEAK 3"/>
      <sheetName val="PEAK 4"/>
      <sheetName val="PEAK 5"/>
      <sheetName val="PEAK 6"/>
      <sheetName val="PEAK 7"/>
      <sheetName val="PEAK 8"/>
      <sheetName val="PEAK 9"/>
      <sheetName val="ROOT 1"/>
      <sheetName val="ROOT 2"/>
      <sheetName val="ROOT 3"/>
      <sheetName val="CALCULOS"/>
      <sheetName val="ROOT 4"/>
      <sheetName val="ROOT 5"/>
      <sheetName val="ROOT 6"/>
      <sheetName val="ROOT 7"/>
      <sheetName val="ROOT 8"/>
      <sheetName val="ROOT 9"/>
      <sheetName val="THKC"/>
      <sheetName val="Cpk AIAG_(1.5)2THKF"/>
      <sheetName val="THKF"/>
      <sheetName val="Data"/>
      <sheetName val="Calculos1"/>
      <sheetName val="Cpk AIAG_(2.0) THKF 2"/>
    </sheetNames>
    <sheetDataSet>
      <sheetData sheetId="0"/>
      <sheetData sheetId="1"/>
      <sheetData sheetId="2">
        <row r="31">
          <cell r="P31">
            <v>93.084271999999984</v>
          </cell>
        </row>
        <row r="32">
          <cell r="P32">
            <v>7.9159432425551846E-2</v>
          </cell>
        </row>
        <row r="36">
          <cell r="P36">
            <v>6.5940000000000003</v>
          </cell>
        </row>
        <row r="37">
          <cell r="P37">
            <v>5.3440000000000003</v>
          </cell>
        </row>
        <row r="41">
          <cell r="P41">
            <v>6.3159999999999998</v>
          </cell>
        </row>
        <row r="42">
          <cell r="P42">
            <v>5.1189999999999998</v>
          </cell>
        </row>
      </sheetData>
      <sheetData sheetId="3">
        <row r="31">
          <cell r="P31">
            <v>1.2878400000000003</v>
          </cell>
        </row>
        <row r="32">
          <cell r="P32">
            <v>2.49381169581698E-2</v>
          </cell>
        </row>
        <row r="36">
          <cell r="P36">
            <v>1.905</v>
          </cell>
        </row>
        <row r="37">
          <cell r="P37">
            <v>1.8779999999999999</v>
          </cell>
        </row>
        <row r="41">
          <cell r="P41">
            <v>2.0049999999999999</v>
          </cell>
        </row>
        <row r="42">
          <cell r="P42">
            <v>1.976</v>
          </cell>
        </row>
      </sheetData>
      <sheetData sheetId="4">
        <row r="31">
          <cell r="P31">
            <v>1.3520800000000002</v>
          </cell>
        </row>
        <row r="32">
          <cell r="P32">
            <v>2.4993418488512793E-2</v>
          </cell>
        </row>
        <row r="36">
          <cell r="P36">
            <v>1.8560000000000001</v>
          </cell>
        </row>
        <row r="37">
          <cell r="P37">
            <v>1.758</v>
          </cell>
        </row>
        <row r="41">
          <cell r="P41">
            <v>2.0009999999999999</v>
          </cell>
        </row>
        <row r="42">
          <cell r="P42">
            <v>1.895</v>
          </cell>
        </row>
      </sheetData>
      <sheetData sheetId="5">
        <row r="31">
          <cell r="P31">
            <v>1.3023200000000006</v>
          </cell>
        </row>
        <row r="32">
          <cell r="P32">
            <v>2.413456896973384E-2</v>
          </cell>
        </row>
        <row r="36">
          <cell r="P36">
            <v>1.998</v>
          </cell>
        </row>
        <row r="37">
          <cell r="P37">
            <v>1.8340000000000001</v>
          </cell>
        </row>
        <row r="41">
          <cell r="P41">
            <v>2.0720000000000001</v>
          </cell>
        </row>
        <row r="42">
          <cell r="P42">
            <v>1.9019999999999999</v>
          </cell>
        </row>
      </sheetData>
      <sheetData sheetId="6">
        <row r="31">
          <cell r="P31">
            <v>1.3349600000000008</v>
          </cell>
        </row>
        <row r="32">
          <cell r="P32">
            <v>2.6323790294786022E-2</v>
          </cell>
        </row>
        <row r="36">
          <cell r="P36">
            <v>1.88</v>
          </cell>
        </row>
        <row r="37">
          <cell r="P37">
            <v>1.6919999999999999</v>
          </cell>
        </row>
        <row r="41">
          <cell r="P41">
            <v>1.899</v>
          </cell>
        </row>
        <row r="42">
          <cell r="P42">
            <v>1.7090000000000001</v>
          </cell>
        </row>
      </sheetData>
      <sheetData sheetId="7">
        <row r="31">
          <cell r="P31">
            <v>0.99632000000000009</v>
          </cell>
        </row>
        <row r="32">
          <cell r="P32">
            <v>2.2235397527946441E-2</v>
          </cell>
        </row>
        <row r="36">
          <cell r="P36">
            <v>2.1150000000000002</v>
          </cell>
        </row>
        <row r="37">
          <cell r="P37">
            <v>1.7809999999999999</v>
          </cell>
        </row>
        <row r="41">
          <cell r="P41">
            <v>2.2490000000000001</v>
          </cell>
        </row>
        <row r="42">
          <cell r="P42">
            <v>1.8939999999999999</v>
          </cell>
        </row>
      </sheetData>
      <sheetData sheetId="8">
        <row r="31">
          <cell r="P31">
            <v>1.2049599999999996</v>
          </cell>
        </row>
        <row r="32">
          <cell r="P32">
            <v>2.6688888590451824E-2</v>
          </cell>
        </row>
        <row r="36">
          <cell r="P36">
            <v>1.8440000000000001</v>
          </cell>
        </row>
        <row r="37">
          <cell r="P37">
            <v>1.782</v>
          </cell>
        </row>
        <row r="41">
          <cell r="P41">
            <v>1.873</v>
          </cell>
        </row>
        <row r="42">
          <cell r="P42">
            <v>1.81</v>
          </cell>
        </row>
      </sheetData>
      <sheetData sheetId="9">
        <row r="31">
          <cell r="P31">
            <v>1.3382400000000014</v>
          </cell>
        </row>
        <row r="32">
          <cell r="P32">
            <v>3.0771373374531698E-2</v>
          </cell>
        </row>
        <row r="36">
          <cell r="P36">
            <v>2.085</v>
          </cell>
        </row>
        <row r="37">
          <cell r="P37">
            <v>1.754</v>
          </cell>
        </row>
        <row r="41">
          <cell r="P41">
            <v>2.1669999999999998</v>
          </cell>
        </row>
        <row r="42">
          <cell r="P42">
            <v>1.8220000000000001</v>
          </cell>
        </row>
      </sheetData>
      <sheetData sheetId="10">
        <row r="31">
          <cell r="P31">
            <v>5.1520000000000038E-3</v>
          </cell>
        </row>
        <row r="32">
          <cell r="P32">
            <v>2.9677187937386549E-3</v>
          </cell>
        </row>
        <row r="36">
          <cell r="P36">
            <v>0</v>
          </cell>
        </row>
        <row r="37">
          <cell r="P37">
            <v>-0.57099999999999995</v>
          </cell>
        </row>
        <row r="41">
          <cell r="P41">
            <v>0</v>
          </cell>
        </row>
        <row r="42">
          <cell r="P42">
            <v>-0.57899999999999996</v>
          </cell>
        </row>
      </sheetData>
      <sheetData sheetId="11">
        <row r="31">
          <cell r="P31">
            <v>0</v>
          </cell>
        </row>
        <row r="32">
          <cell r="P32">
            <v>0</v>
          </cell>
        </row>
        <row r="36">
          <cell r="P36" t="e">
            <v>#DIV/0!</v>
          </cell>
        </row>
        <row r="37">
          <cell r="P37" t="e">
            <v>#DIV/0!</v>
          </cell>
        </row>
        <row r="41">
          <cell r="P41" t="e">
            <v>#DIV/0!</v>
          </cell>
        </row>
        <row r="42">
          <cell r="P42" t="e">
            <v>#DIV/0!</v>
          </cell>
        </row>
      </sheetData>
      <sheetData sheetId="12">
        <row r="31">
          <cell r="P31">
            <v>1.1946399999999993</v>
          </cell>
        </row>
        <row r="32">
          <cell r="P32">
            <v>1.9860156254461178E-2</v>
          </cell>
        </row>
        <row r="36">
          <cell r="P36">
            <v>2.4590000000000001</v>
          </cell>
        </row>
        <row r="37">
          <cell r="P37">
            <v>1.7270000000000001</v>
          </cell>
        </row>
        <row r="41">
          <cell r="P41">
            <v>2.5179999999999998</v>
          </cell>
        </row>
        <row r="42">
          <cell r="P42">
            <v>1.768</v>
          </cell>
        </row>
      </sheetData>
      <sheetData sheetId="13">
        <row r="31">
          <cell r="P31">
            <v>1.2257599999999997</v>
          </cell>
        </row>
        <row r="32">
          <cell r="P32">
            <v>2.2370199070451156E-2</v>
          </cell>
        </row>
        <row r="36">
          <cell r="P36">
            <v>2.1789999999999998</v>
          </cell>
        </row>
        <row r="37">
          <cell r="P37">
            <v>1.972</v>
          </cell>
        </row>
        <row r="41">
          <cell r="P41">
            <v>2.2349999999999999</v>
          </cell>
        </row>
        <row r="42">
          <cell r="P42">
            <v>2.0230000000000001</v>
          </cell>
        </row>
      </sheetData>
      <sheetData sheetId="14">
        <row r="31">
          <cell r="P31">
            <v>1.2752800000000004</v>
          </cell>
        </row>
        <row r="32">
          <cell r="P32">
            <v>2.1648809845853802E-2</v>
          </cell>
        </row>
        <row r="36">
          <cell r="P36">
            <v>2.1469999999999998</v>
          </cell>
        </row>
        <row r="37">
          <cell r="P37">
            <v>1.7929999999999999</v>
          </cell>
        </row>
        <row r="41">
          <cell r="P41">
            <v>2.31</v>
          </cell>
        </row>
        <row r="42">
          <cell r="P42">
            <v>1.929</v>
          </cell>
        </row>
      </sheetData>
      <sheetData sheetId="15"/>
      <sheetData sheetId="16">
        <row r="31">
          <cell r="P31">
            <v>1.1401600000000007</v>
          </cell>
        </row>
        <row r="32">
          <cell r="P32">
            <v>2.4853895651029335E-2</v>
          </cell>
        </row>
        <row r="36">
          <cell r="P36">
            <v>1.998</v>
          </cell>
        </row>
        <row r="37">
          <cell r="P37">
            <v>1.996</v>
          </cell>
        </row>
        <row r="41">
          <cell r="P41">
            <v>2.012</v>
          </cell>
        </row>
        <row r="42">
          <cell r="P42">
            <v>2.0099999999999998</v>
          </cell>
        </row>
      </sheetData>
      <sheetData sheetId="17">
        <row r="31">
          <cell r="P31">
            <v>1.2115999999999993</v>
          </cell>
        </row>
        <row r="32">
          <cell r="P32">
            <v>2.4143388863340064E-2</v>
          </cell>
        </row>
        <row r="36">
          <cell r="P36">
            <v>2.012</v>
          </cell>
        </row>
        <row r="37">
          <cell r="P37">
            <v>1.722</v>
          </cell>
        </row>
        <row r="41">
          <cell r="P41">
            <v>2.0710000000000002</v>
          </cell>
        </row>
        <row r="42">
          <cell r="P42">
            <v>1.7729999999999999</v>
          </cell>
        </row>
      </sheetData>
      <sheetData sheetId="18">
        <row r="31">
          <cell r="P31">
            <v>1.1691200000000006</v>
          </cell>
        </row>
        <row r="32">
          <cell r="P32">
            <v>2.8709220728517015E-2</v>
          </cell>
        </row>
        <row r="36">
          <cell r="P36">
            <v>2.3530000000000002</v>
          </cell>
        </row>
        <row r="37">
          <cell r="P37">
            <v>1.99</v>
          </cell>
        </row>
        <row r="41">
          <cell r="P41">
            <v>2.3220000000000001</v>
          </cell>
        </row>
        <row r="42">
          <cell r="P42">
            <v>1.964</v>
          </cell>
        </row>
      </sheetData>
      <sheetData sheetId="19">
        <row r="31">
          <cell r="P31">
            <v>0</v>
          </cell>
        </row>
        <row r="32">
          <cell r="P32">
            <v>0</v>
          </cell>
        </row>
        <row r="36">
          <cell r="P36" t="e">
            <v>#DIV/0!</v>
          </cell>
        </row>
        <row r="37">
          <cell r="P37" t="e">
            <v>#DIV/0!</v>
          </cell>
        </row>
        <row r="41">
          <cell r="P41" t="e">
            <v>#DIV/0!</v>
          </cell>
        </row>
        <row r="42">
          <cell r="P42" t="e">
            <v>#DIV/0!</v>
          </cell>
        </row>
      </sheetData>
      <sheetData sheetId="20">
        <row r="31">
          <cell r="P31">
            <v>0</v>
          </cell>
        </row>
        <row r="32">
          <cell r="P32">
            <v>0</v>
          </cell>
        </row>
        <row r="36">
          <cell r="P36" t="e">
            <v>#DIV/0!</v>
          </cell>
        </row>
        <row r="37">
          <cell r="P37" t="e">
            <v>#DIV/0!</v>
          </cell>
        </row>
        <row r="41">
          <cell r="P41" t="e">
            <v>#DIV/0!</v>
          </cell>
        </row>
        <row r="42">
          <cell r="P42" t="e">
            <v>#DIV/0!</v>
          </cell>
        </row>
      </sheetData>
      <sheetData sheetId="21"/>
      <sheetData sheetId="22">
        <row r="31">
          <cell r="P31">
            <v>1.9566399999999988</v>
          </cell>
        </row>
        <row r="32">
          <cell r="P32">
            <v>1.114016273698242E-2</v>
          </cell>
        </row>
        <row r="36">
          <cell r="P36">
            <v>2.9510000000000001</v>
          </cell>
        </row>
        <row r="37">
          <cell r="P37">
            <v>1.671</v>
          </cell>
        </row>
        <row r="41">
          <cell r="P41">
            <v>2.992</v>
          </cell>
        </row>
        <row r="42">
          <cell r="P42">
            <v>1.6950000000000001</v>
          </cell>
        </row>
      </sheetData>
      <sheetData sheetId="23"/>
      <sheetData sheetId="24">
        <row r="31">
          <cell r="P31">
            <v>1.44364</v>
          </cell>
        </row>
        <row r="32">
          <cell r="P32">
            <v>1.5593836665025205E-2</v>
          </cell>
        </row>
        <row r="36">
          <cell r="P36">
            <v>1.895</v>
          </cell>
        </row>
        <row r="37">
          <cell r="P37">
            <v>1.7749999999999999</v>
          </cell>
        </row>
        <row r="41">
          <cell r="P41">
            <v>2.1379999999999999</v>
          </cell>
        </row>
        <row r="42">
          <cell r="P42">
            <v>2.0019999999999998</v>
          </cell>
        </row>
      </sheetData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320D6-41D0-420B-9BBC-032C1AABCF1A}">
  <dimension ref="A1:BR143"/>
  <sheetViews>
    <sheetView topLeftCell="M1" workbookViewId="0">
      <selection activeCell="AH1" sqref="AH1:AJ1048576"/>
    </sheetView>
  </sheetViews>
  <sheetFormatPr baseColWidth="10" defaultColWidth="7.109375" defaultRowHeight="15" zeroHeight="1"/>
  <cols>
    <col min="1" max="1" width="9.6640625" style="72" customWidth="1"/>
    <col min="2" max="2" width="19" style="72" customWidth="1"/>
    <col min="3" max="3" width="20.88671875" style="72" customWidth="1"/>
    <col min="4" max="9" width="7.109375" style="72"/>
    <col min="10" max="10" width="19.6640625" style="72" bestFit="1" customWidth="1"/>
    <col min="11" max="11" width="11.6640625" style="72" customWidth="1"/>
    <col min="12" max="12" width="7.6640625" style="72" customWidth="1"/>
    <col min="13" max="14" width="6.6640625" style="72" customWidth="1"/>
    <col min="15" max="15" width="9.21875" style="73" customWidth="1"/>
    <col min="16" max="16" width="7.109375" style="72" customWidth="1"/>
    <col min="17" max="17" width="9.21875" style="73" customWidth="1"/>
    <col min="18" max="18" width="7.109375" style="72" customWidth="1"/>
    <col min="19" max="21" width="9.21875" style="73" customWidth="1"/>
    <col min="22" max="22" width="7.109375" style="72" customWidth="1"/>
    <col min="23" max="29" width="9.21875" style="73" customWidth="1"/>
    <col min="30" max="30" width="7.109375" style="72" customWidth="1"/>
    <col min="31" max="35" width="9.21875" style="73" customWidth="1"/>
    <col min="36" max="36" width="7.109375" style="72"/>
    <col min="37" max="42" width="7.6640625" style="72" customWidth="1"/>
    <col min="43" max="43" width="7.109375" style="72"/>
    <col min="44" max="46" width="7.6640625" style="72" customWidth="1"/>
    <col min="47" max="47" width="9.21875" style="73" customWidth="1"/>
    <col min="48" max="64" width="7.6640625" style="72" customWidth="1"/>
    <col min="65" max="65" width="7.6640625" style="72" bestFit="1" customWidth="1"/>
    <col min="66" max="16384" width="7.109375" style="72"/>
  </cols>
  <sheetData>
    <row r="1" spans="1:70">
      <c r="A1" s="69"/>
      <c r="B1" s="70"/>
      <c r="C1" s="71"/>
      <c r="N1" s="72" t="s">
        <v>78</v>
      </c>
      <c r="O1" s="73" t="s">
        <v>79</v>
      </c>
      <c r="P1" s="72" t="s">
        <v>80</v>
      </c>
      <c r="Q1" s="74" t="s">
        <v>81</v>
      </c>
      <c r="R1" s="72" t="s">
        <v>82</v>
      </c>
      <c r="S1" s="74" t="s">
        <v>83</v>
      </c>
      <c r="T1" s="74" t="s">
        <v>84</v>
      </c>
      <c r="U1" s="73" t="s">
        <v>85</v>
      </c>
      <c r="V1" s="72" t="s">
        <v>86</v>
      </c>
      <c r="Y1" s="73" t="s">
        <v>87</v>
      </c>
      <c r="Z1" s="73" t="s">
        <v>88</v>
      </c>
      <c r="AA1" s="73" t="s">
        <v>89</v>
      </c>
      <c r="AB1" s="73" t="s">
        <v>90</v>
      </c>
      <c r="AC1" s="73" t="s">
        <v>91</v>
      </c>
      <c r="AD1" s="72" t="s">
        <v>92</v>
      </c>
      <c r="AH1" s="73" t="s">
        <v>93</v>
      </c>
      <c r="AJ1" s="72" t="s">
        <v>94</v>
      </c>
      <c r="AQ1" s="72" t="s">
        <v>94</v>
      </c>
      <c r="AR1" s="72">
        <f>AVERAGE(AQ2:AQ126)</f>
        <v>1.4406000000000001</v>
      </c>
    </row>
    <row r="2" spans="1:70">
      <c r="A2" s="69"/>
      <c r="B2" s="70"/>
      <c r="C2" s="71"/>
      <c r="M2" s="72">
        <v>1</v>
      </c>
      <c r="N2" s="75">
        <v>93.057000000000002</v>
      </c>
      <c r="O2" s="75">
        <v>93.057000000000002</v>
      </c>
      <c r="P2" s="75">
        <v>1.33</v>
      </c>
      <c r="Q2" s="76">
        <v>1.32</v>
      </c>
      <c r="R2" s="75">
        <v>1.33</v>
      </c>
      <c r="S2" s="75">
        <v>1.38</v>
      </c>
      <c r="T2" s="76">
        <v>0.97</v>
      </c>
      <c r="U2" s="75">
        <v>1.21</v>
      </c>
      <c r="V2" s="76">
        <v>1.31</v>
      </c>
      <c r="W2" s="77">
        <v>7.0000000000000001E-3</v>
      </c>
      <c r="X2" s="77"/>
      <c r="Y2" s="75">
        <v>1.2</v>
      </c>
      <c r="Z2" s="76">
        <v>1.22</v>
      </c>
      <c r="AA2" s="76">
        <v>1.24</v>
      </c>
      <c r="AB2" s="75">
        <v>1.1599999999999999</v>
      </c>
      <c r="AC2" s="75">
        <v>1.21</v>
      </c>
      <c r="AD2" s="75">
        <v>1.17</v>
      </c>
      <c r="AE2" s="77"/>
      <c r="AF2" s="77"/>
      <c r="AG2" s="77"/>
      <c r="AH2" s="75">
        <v>1.95</v>
      </c>
      <c r="AI2" s="77"/>
      <c r="AJ2" s="76">
        <v>1.44</v>
      </c>
      <c r="AP2" s="72">
        <v>1</v>
      </c>
      <c r="AQ2" s="76">
        <v>1.44</v>
      </c>
      <c r="AR2" s="72">
        <f>AR1</f>
        <v>1.4406000000000001</v>
      </c>
      <c r="AS2" s="72">
        <f>AQ2-AR2</f>
        <v>-6.0000000000015596E-4</v>
      </c>
      <c r="AU2" s="74"/>
      <c r="AV2" s="72">
        <v>20</v>
      </c>
      <c r="BN2" s="72">
        <v>1014.6</v>
      </c>
      <c r="BO2" s="72">
        <v>26.936260869565199</v>
      </c>
      <c r="BP2" s="72">
        <v>27.065000000000001</v>
      </c>
      <c r="BQ2" s="72">
        <v>35.57092307692308</v>
      </c>
      <c r="BR2" s="72">
        <v>35.643215686274509</v>
      </c>
    </row>
    <row r="3" spans="1:70" ht="39">
      <c r="A3" s="78"/>
      <c r="B3" s="79" t="s">
        <v>95</v>
      </c>
      <c r="C3" s="80">
        <v>10433939</v>
      </c>
      <c r="M3" s="72">
        <v>2</v>
      </c>
      <c r="N3" s="81">
        <v>92.787000000000006</v>
      </c>
      <c r="O3" s="75">
        <v>93.003</v>
      </c>
      <c r="P3" s="76">
        <v>1.28</v>
      </c>
      <c r="Q3" s="75">
        <v>1.4</v>
      </c>
      <c r="R3" s="76">
        <v>1.29</v>
      </c>
      <c r="S3" s="75">
        <v>1.34</v>
      </c>
      <c r="T3" s="76">
        <v>0.98</v>
      </c>
      <c r="U3" s="76">
        <v>1.1599999999999999</v>
      </c>
      <c r="V3" s="76">
        <v>1.32</v>
      </c>
      <c r="W3" s="77">
        <v>7.0000000000000001E-3</v>
      </c>
      <c r="X3" s="77"/>
      <c r="Y3" s="76">
        <v>1.19</v>
      </c>
      <c r="Z3" s="75">
        <v>1.26</v>
      </c>
      <c r="AA3" s="76">
        <v>1.27</v>
      </c>
      <c r="AB3" s="75">
        <v>1.1200000000000001</v>
      </c>
      <c r="AC3" s="75">
        <v>1.2</v>
      </c>
      <c r="AD3" s="75">
        <v>1.1599999999999999</v>
      </c>
      <c r="AE3" s="77"/>
      <c r="AF3" s="77"/>
      <c r="AG3" s="77"/>
      <c r="AH3" s="75">
        <v>1.96</v>
      </c>
      <c r="AI3" s="77"/>
      <c r="AJ3" s="76">
        <v>1.43</v>
      </c>
      <c r="AP3" s="72">
        <v>2</v>
      </c>
      <c r="AQ3" s="76">
        <v>1.43</v>
      </c>
      <c r="AR3" s="72">
        <f t="shared" ref="AR3:AR66" si="0">AR2</f>
        <v>1.4406000000000001</v>
      </c>
      <c r="AS3" s="72">
        <f t="shared" ref="AS3:AS66" si="1">AQ3-AR3</f>
        <v>-1.0600000000000165E-2</v>
      </c>
      <c r="AU3" s="74"/>
      <c r="AV3" s="72">
        <v>21</v>
      </c>
      <c r="AZ3" s="82" t="s">
        <v>96</v>
      </c>
      <c r="BA3" s="82" t="s">
        <v>97</v>
      </c>
      <c r="BB3" s="82" t="s">
        <v>98</v>
      </c>
      <c r="BC3" s="82" t="s">
        <v>99</v>
      </c>
      <c r="BD3" s="82" t="s">
        <v>100</v>
      </c>
      <c r="BE3" s="82" t="s">
        <v>101</v>
      </c>
      <c r="BN3" s="72">
        <v>1017.1</v>
      </c>
      <c r="BO3" s="72">
        <v>26.999304347826087</v>
      </c>
      <c r="BP3" s="72">
        <v>27.047999999999998</v>
      </c>
      <c r="BQ3" s="72">
        <v>35.530923076923074</v>
      </c>
      <c r="BR3" s="72">
        <v>35.693411764705878</v>
      </c>
    </row>
    <row r="4" spans="1:70">
      <c r="A4" s="78"/>
      <c r="B4" s="79" t="s">
        <v>102</v>
      </c>
      <c r="C4" s="80"/>
      <c r="M4" s="72">
        <v>3</v>
      </c>
      <c r="N4" s="75">
        <v>93.191999999999993</v>
      </c>
      <c r="O4" s="76">
        <v>93.191999999999993</v>
      </c>
      <c r="P4" s="75">
        <v>1.3</v>
      </c>
      <c r="Q4" s="76">
        <v>1.35</v>
      </c>
      <c r="R4" s="75">
        <v>1.32</v>
      </c>
      <c r="S4" s="75">
        <v>1.37</v>
      </c>
      <c r="T4" s="75">
        <v>1</v>
      </c>
      <c r="U4" s="75">
        <v>1.22</v>
      </c>
      <c r="V4" s="75">
        <v>1.34</v>
      </c>
      <c r="W4" s="77">
        <v>2E-3</v>
      </c>
      <c r="X4" s="77"/>
      <c r="Y4" s="75">
        <v>1.21</v>
      </c>
      <c r="Z4" s="75">
        <v>1.23</v>
      </c>
      <c r="AA4" s="76">
        <v>1.25</v>
      </c>
      <c r="AB4" s="75">
        <v>1.1399999999999999</v>
      </c>
      <c r="AC4" s="75">
        <v>1.23</v>
      </c>
      <c r="AD4" s="75">
        <v>1.18</v>
      </c>
      <c r="AE4" s="77"/>
      <c r="AF4" s="77"/>
      <c r="AG4" s="77"/>
      <c r="AH4" s="75">
        <v>1.95</v>
      </c>
      <c r="AI4" s="77"/>
      <c r="AJ4" s="75">
        <v>1.46</v>
      </c>
      <c r="AP4" s="72">
        <v>3</v>
      </c>
      <c r="AQ4" s="76">
        <v>1.44</v>
      </c>
      <c r="AR4" s="72">
        <f t="shared" si="0"/>
        <v>1.4406000000000001</v>
      </c>
      <c r="AS4" s="72">
        <f t="shared" si="1"/>
        <v>-6.0000000000015596E-4</v>
      </c>
      <c r="AU4" s="74"/>
      <c r="AV4" s="72">
        <v>22</v>
      </c>
      <c r="AZ4" s="83">
        <f>'[1] PEAK 1'!P31</f>
        <v>1.2878400000000003</v>
      </c>
      <c r="BA4" s="84">
        <f>'[1] PEAK 1'!P32</f>
        <v>2.49381169581698E-2</v>
      </c>
      <c r="BB4" s="85">
        <f>'[1] PEAK 1'!P42</f>
        <v>1.976</v>
      </c>
      <c r="BC4" s="85">
        <f>'[1] PEAK 1'!P41</f>
        <v>2.0049999999999999</v>
      </c>
      <c r="BD4" s="85">
        <f>'[1] PEAK 1'!P37</f>
        <v>1.8779999999999999</v>
      </c>
      <c r="BE4" s="85">
        <f>'[1] PEAK 1'!P36</f>
        <v>1.905</v>
      </c>
      <c r="BN4" s="72">
        <v>1014.3</v>
      </c>
      <c r="BO4" s="72">
        <v>26.983652173913043</v>
      </c>
      <c r="BP4" s="72">
        <v>27.020499999999998</v>
      </c>
      <c r="BQ4" s="72">
        <v>35.444769230769232</v>
      </c>
      <c r="BR4" s="72">
        <v>35.677725490196075</v>
      </c>
    </row>
    <row r="5" spans="1:70">
      <c r="A5" s="78"/>
      <c r="B5" s="79" t="s">
        <v>103</v>
      </c>
      <c r="C5" s="80" t="s">
        <v>104</v>
      </c>
      <c r="M5" s="72">
        <v>4</v>
      </c>
      <c r="N5" s="75">
        <v>93.055000000000007</v>
      </c>
      <c r="O5" s="76">
        <v>93.055000000000007</v>
      </c>
      <c r="P5" s="76">
        <v>1.28</v>
      </c>
      <c r="Q5" s="75">
        <v>1.37</v>
      </c>
      <c r="R5" s="76">
        <v>1.27</v>
      </c>
      <c r="S5" s="76">
        <v>1.31</v>
      </c>
      <c r="T5" s="75">
        <v>1.04</v>
      </c>
      <c r="U5" s="75">
        <v>1.22</v>
      </c>
      <c r="V5" s="76">
        <v>1.33</v>
      </c>
      <c r="W5" s="77">
        <v>5.0000000000000001E-3</v>
      </c>
      <c r="X5" s="77"/>
      <c r="Y5" s="75">
        <v>1.22</v>
      </c>
      <c r="Z5" s="76">
        <v>1.2</v>
      </c>
      <c r="AA5" s="76">
        <v>1.25</v>
      </c>
      <c r="AB5" s="75">
        <v>1.1000000000000001</v>
      </c>
      <c r="AC5" s="75">
        <v>1.19</v>
      </c>
      <c r="AD5" s="75">
        <v>1.17</v>
      </c>
      <c r="AE5" s="77"/>
      <c r="AF5" s="77"/>
      <c r="AG5" s="77"/>
      <c r="AH5" s="75">
        <v>1.96</v>
      </c>
      <c r="AI5" s="77"/>
      <c r="AJ5" s="76">
        <v>1.45</v>
      </c>
      <c r="AP5" s="72">
        <v>4</v>
      </c>
      <c r="AQ5" s="76">
        <v>1.42</v>
      </c>
      <c r="AR5" s="72">
        <f t="shared" si="0"/>
        <v>1.4406000000000001</v>
      </c>
      <c r="AS5" s="72">
        <f t="shared" si="1"/>
        <v>-2.0600000000000174E-2</v>
      </c>
      <c r="AU5" s="74"/>
      <c r="AV5" s="72">
        <v>23</v>
      </c>
      <c r="AZ5" s="83">
        <f>'[1]PEAK 2'!P31</f>
        <v>1.3520800000000002</v>
      </c>
      <c r="BA5" s="84">
        <f>'[1]PEAK 2'!P32</f>
        <v>2.4993418488512793E-2</v>
      </c>
      <c r="BB5" s="85">
        <f>'[1]PEAK 2'!P42</f>
        <v>1.895</v>
      </c>
      <c r="BC5" s="85">
        <f>'[1]PEAK 2'!P41</f>
        <v>2.0009999999999999</v>
      </c>
      <c r="BD5" s="85">
        <f>'[1]PEAK 2'!P37</f>
        <v>1.758</v>
      </c>
      <c r="BE5" s="85">
        <f>'[1]PEAK 2'!P36</f>
        <v>1.8560000000000001</v>
      </c>
      <c r="BN5" s="72">
        <v>1015.4</v>
      </c>
      <c r="BO5" s="72">
        <v>26.926260869565215</v>
      </c>
      <c r="BP5" s="72">
        <v>27.017250000000001</v>
      </c>
      <c r="BQ5" s="72">
        <v>35.54746153846154</v>
      </c>
      <c r="BR5" s="72">
        <v>35.682431372549019</v>
      </c>
    </row>
    <row r="6" spans="1:70">
      <c r="A6" s="86" t="s">
        <v>105</v>
      </c>
      <c r="B6" s="79" t="s">
        <v>106</v>
      </c>
      <c r="C6" s="87">
        <v>45937</v>
      </c>
      <c r="M6" s="72">
        <v>5</v>
      </c>
      <c r="N6" s="75">
        <v>93.13</v>
      </c>
      <c r="O6" s="75">
        <v>93.13</v>
      </c>
      <c r="P6" s="75">
        <v>1.3</v>
      </c>
      <c r="Q6" s="76">
        <v>1.34</v>
      </c>
      <c r="R6" s="75">
        <v>1.33</v>
      </c>
      <c r="S6" s="75">
        <v>1.35</v>
      </c>
      <c r="T6" s="75">
        <v>1</v>
      </c>
      <c r="U6" s="76">
        <v>1.18</v>
      </c>
      <c r="V6" s="76">
        <v>1.3</v>
      </c>
      <c r="W6" s="77">
        <v>1E-3</v>
      </c>
      <c r="X6" s="77"/>
      <c r="Y6" s="76">
        <v>1.19</v>
      </c>
      <c r="Z6" s="75">
        <v>1.26</v>
      </c>
      <c r="AA6" s="75">
        <v>1.3</v>
      </c>
      <c r="AB6" s="75">
        <v>1.1200000000000001</v>
      </c>
      <c r="AC6" s="75">
        <v>1.23</v>
      </c>
      <c r="AD6" s="75">
        <v>1.1399999999999999</v>
      </c>
      <c r="AE6" s="77"/>
      <c r="AF6" s="77"/>
      <c r="AG6" s="77"/>
      <c r="AH6" s="75">
        <v>1.95</v>
      </c>
      <c r="AI6" s="77"/>
      <c r="AJ6" s="76">
        <v>1.43</v>
      </c>
      <c r="AP6" s="72">
        <v>5</v>
      </c>
      <c r="AQ6" s="76">
        <v>1.43</v>
      </c>
      <c r="AR6" s="72">
        <f t="shared" si="0"/>
        <v>1.4406000000000001</v>
      </c>
      <c r="AS6" s="72">
        <f t="shared" si="1"/>
        <v>-1.0600000000000165E-2</v>
      </c>
      <c r="AU6" s="74"/>
      <c r="AV6" s="72">
        <v>24</v>
      </c>
      <c r="AZ6" s="83">
        <f>'[1]PEAK 3'!P31</f>
        <v>1.3023200000000006</v>
      </c>
      <c r="BA6" s="84">
        <f>'[1]PEAK 3'!P32</f>
        <v>2.413456896973384E-2</v>
      </c>
      <c r="BB6" s="85">
        <f>'[1]PEAK 3'!P42</f>
        <v>1.9019999999999999</v>
      </c>
      <c r="BC6" s="85">
        <f>'[1]PEAK 3'!P41</f>
        <v>2.0720000000000001</v>
      </c>
      <c r="BD6" s="85">
        <f>'[1]PEAK 3'!P37</f>
        <v>1.8340000000000001</v>
      </c>
      <c r="BE6" s="85">
        <f>'[1]PEAK 3'!P36</f>
        <v>1.998</v>
      </c>
      <c r="BN6" s="72">
        <v>1017.2</v>
      </c>
      <c r="BO6" s="72">
        <v>26.981478260869565</v>
      </c>
      <c r="BP6" s="72">
        <v>26.990000000000002</v>
      </c>
      <c r="BQ6" s="72">
        <v>35.514000000000003</v>
      </c>
      <c r="BR6" s="72">
        <v>35.703803921568628</v>
      </c>
    </row>
    <row r="7" spans="1:70">
      <c r="A7" s="78"/>
      <c r="B7" s="79" t="s">
        <v>107</v>
      </c>
      <c r="C7" s="88" t="s">
        <v>108</v>
      </c>
      <c r="E7" s="72" t="s">
        <v>109</v>
      </c>
      <c r="F7" s="72" t="s">
        <v>110</v>
      </c>
      <c r="M7" s="72">
        <v>6</v>
      </c>
      <c r="N7" s="81">
        <v>92.665999999999997</v>
      </c>
      <c r="O7" s="76">
        <v>93.006</v>
      </c>
      <c r="P7" s="76">
        <v>1.26</v>
      </c>
      <c r="Q7" s="75">
        <v>1.37</v>
      </c>
      <c r="R7" s="76">
        <v>1.28</v>
      </c>
      <c r="S7" s="75">
        <v>1.36</v>
      </c>
      <c r="T7" s="76">
        <v>0.98</v>
      </c>
      <c r="U7" s="75">
        <v>1.21</v>
      </c>
      <c r="V7" s="76">
        <v>1.32</v>
      </c>
      <c r="W7" s="77">
        <v>6.0000000000000001E-3</v>
      </c>
      <c r="X7" s="77"/>
      <c r="Y7" s="75">
        <v>1.21</v>
      </c>
      <c r="Z7" s="75">
        <v>1.24</v>
      </c>
      <c r="AA7" s="75">
        <v>1.29</v>
      </c>
      <c r="AB7" s="75">
        <v>1.1499999999999999</v>
      </c>
      <c r="AC7" s="75">
        <v>1.17</v>
      </c>
      <c r="AD7" s="75">
        <v>1.1399999999999999</v>
      </c>
      <c r="AE7" s="77"/>
      <c r="AF7" s="77"/>
      <c r="AG7" s="77"/>
      <c r="AH7" s="75">
        <v>1.95</v>
      </c>
      <c r="AI7" s="77"/>
      <c r="AJ7" s="76">
        <v>1.43</v>
      </c>
      <c r="AP7" s="72">
        <v>6</v>
      </c>
      <c r="AQ7" s="76">
        <v>1.43</v>
      </c>
      <c r="AR7" s="72">
        <f t="shared" si="0"/>
        <v>1.4406000000000001</v>
      </c>
      <c r="AS7" s="72">
        <f t="shared" si="1"/>
        <v>-1.0600000000000165E-2</v>
      </c>
      <c r="AU7" s="74"/>
      <c r="AV7" s="72">
        <v>25</v>
      </c>
      <c r="AZ7" s="83">
        <f>'[1]PEAK 4'!P31</f>
        <v>1.3349600000000008</v>
      </c>
      <c r="BA7" s="84">
        <f>'[1]PEAK 4'!P32</f>
        <v>2.6323790294786022E-2</v>
      </c>
      <c r="BB7" s="85">
        <f>'[1]PEAK 4'!P42</f>
        <v>1.7090000000000001</v>
      </c>
      <c r="BC7" s="85">
        <f>'[1]PEAK 4'!P41</f>
        <v>1.899</v>
      </c>
      <c r="BD7" s="85">
        <f>'[1]PEAK 4'!P37</f>
        <v>1.6919999999999999</v>
      </c>
      <c r="BE7" s="85">
        <f>'[1]PEAK 4'!P36</f>
        <v>1.88</v>
      </c>
      <c r="BN7" s="72">
        <v>1017.4768627450984</v>
      </c>
      <c r="BO7" s="72">
        <v>26.901043478260871</v>
      </c>
      <c r="BP7" s="72">
        <v>27.053999999999998</v>
      </c>
      <c r="BQ7" s="72">
        <v>35.562846153846152</v>
      </c>
      <c r="BR7" s="72">
        <v>35.654980392156865</v>
      </c>
    </row>
    <row r="8" spans="1:70">
      <c r="A8" s="78"/>
      <c r="B8" s="79"/>
      <c r="C8" s="80" t="s">
        <v>111</v>
      </c>
      <c r="M8" s="72">
        <v>7</v>
      </c>
      <c r="N8" s="75">
        <v>93.153999999999996</v>
      </c>
      <c r="O8" s="75">
        <v>93.153999999999996</v>
      </c>
      <c r="P8" s="76">
        <v>1.25</v>
      </c>
      <c r="Q8" s="75">
        <v>1.37</v>
      </c>
      <c r="R8" s="75">
        <v>1.32</v>
      </c>
      <c r="S8" s="76">
        <v>1.32</v>
      </c>
      <c r="T8" s="75">
        <v>1.02</v>
      </c>
      <c r="U8" s="76">
        <v>1.18</v>
      </c>
      <c r="V8" s="75">
        <v>1.36</v>
      </c>
      <c r="W8" s="77">
        <v>4.0000000000000001E-3</v>
      </c>
      <c r="X8" s="77"/>
      <c r="Y8" s="75">
        <v>1.2</v>
      </c>
      <c r="Z8" s="75">
        <v>1.23</v>
      </c>
      <c r="AA8" s="76">
        <v>1.27</v>
      </c>
      <c r="AB8" s="75">
        <v>1.1100000000000001</v>
      </c>
      <c r="AC8" s="75">
        <v>1.18</v>
      </c>
      <c r="AD8" s="75">
        <v>1.17</v>
      </c>
      <c r="AE8" s="77"/>
      <c r="AF8" s="77"/>
      <c r="AG8" s="77"/>
      <c r="AH8" s="75">
        <v>1.97</v>
      </c>
      <c r="AI8" s="77"/>
      <c r="AJ8" s="75">
        <v>1.45</v>
      </c>
      <c r="AP8" s="72">
        <v>7</v>
      </c>
      <c r="AQ8" s="75">
        <v>1.45</v>
      </c>
      <c r="AR8" s="72">
        <f t="shared" si="0"/>
        <v>1.4406000000000001</v>
      </c>
      <c r="AS8" s="72">
        <f t="shared" si="1"/>
        <v>9.3999999999998529E-3</v>
      </c>
      <c r="AU8" s="74"/>
      <c r="AV8" s="72">
        <v>26</v>
      </c>
      <c r="AZ8" s="83">
        <f>'[1]PEAK 5'!P31</f>
        <v>0.99632000000000009</v>
      </c>
      <c r="BA8" s="84">
        <f>'[1]PEAK 5'!P32</f>
        <v>2.2235397527946441E-2</v>
      </c>
      <c r="BB8" s="85">
        <f>'[1]PEAK 5'!P42</f>
        <v>1.8939999999999999</v>
      </c>
      <c r="BC8" s="85">
        <f>'[1]PEAK 5'!P41</f>
        <v>2.2490000000000001</v>
      </c>
      <c r="BD8" s="85">
        <f>'[1]PEAK 5'!P37</f>
        <v>1.7809999999999999</v>
      </c>
      <c r="BE8" s="85">
        <f>'[1]PEAK 5'!P36</f>
        <v>2.1150000000000002</v>
      </c>
      <c r="BN8" s="72">
        <v>1016.6807843137256</v>
      </c>
      <c r="BO8" s="72">
        <v>26.928434782608697</v>
      </c>
      <c r="BP8" s="72">
        <v>27.033999999999999</v>
      </c>
      <c r="BQ8" s="72">
        <v>35.618615384615381</v>
      </c>
      <c r="BR8" s="72">
        <v>35.679882352941178</v>
      </c>
    </row>
    <row r="9" spans="1:70">
      <c r="A9" s="78"/>
      <c r="B9" s="79" t="s">
        <v>112</v>
      </c>
      <c r="C9" s="80" t="s">
        <v>113</v>
      </c>
      <c r="M9" s="72">
        <v>8</v>
      </c>
      <c r="N9" s="81">
        <v>92.905000000000001</v>
      </c>
      <c r="O9" s="76">
        <v>92.905000000000001</v>
      </c>
      <c r="P9" s="75">
        <v>1.33</v>
      </c>
      <c r="Q9" s="76">
        <v>1.35</v>
      </c>
      <c r="R9" s="76">
        <v>1.29</v>
      </c>
      <c r="S9" s="76">
        <v>1.33</v>
      </c>
      <c r="T9" s="75">
        <v>1.01</v>
      </c>
      <c r="U9" s="75">
        <v>1.22</v>
      </c>
      <c r="V9" s="76">
        <v>1.3</v>
      </c>
      <c r="W9" s="77">
        <v>5.0000000000000001E-3</v>
      </c>
      <c r="X9" s="77"/>
      <c r="Y9" s="76">
        <v>1.17</v>
      </c>
      <c r="Z9" s="76">
        <v>1.22</v>
      </c>
      <c r="AA9" s="75">
        <v>1.3</v>
      </c>
      <c r="AB9" s="75">
        <v>1.1299999999999999</v>
      </c>
      <c r="AC9" s="75">
        <v>1.25</v>
      </c>
      <c r="AD9" s="75">
        <v>1.1399999999999999</v>
      </c>
      <c r="AE9" s="77"/>
      <c r="AF9" s="77"/>
      <c r="AG9" s="77"/>
      <c r="AH9" s="75">
        <v>1.95</v>
      </c>
      <c r="AI9" s="77"/>
      <c r="AJ9" s="76">
        <v>1.45</v>
      </c>
      <c r="AP9" s="72">
        <v>8</v>
      </c>
      <c r="AQ9" s="76">
        <v>1.42</v>
      </c>
      <c r="AR9" s="72">
        <f t="shared" si="0"/>
        <v>1.4406000000000001</v>
      </c>
      <c r="AS9" s="72">
        <f t="shared" si="1"/>
        <v>-2.0600000000000174E-2</v>
      </c>
      <c r="AU9" s="74"/>
      <c r="AV9" s="72">
        <v>27</v>
      </c>
      <c r="AZ9" s="83">
        <f>'[1]PEAK 6'!P31</f>
        <v>1.2049599999999996</v>
      </c>
      <c r="BA9" s="84">
        <f>'[1]PEAK 6'!P32</f>
        <v>2.6688888590451824E-2</v>
      </c>
      <c r="BB9" s="85">
        <f>'[1]PEAK 6'!P42</f>
        <v>1.81</v>
      </c>
      <c r="BC9" s="85">
        <f>'[1]PEAK 6'!P41</f>
        <v>1.873</v>
      </c>
      <c r="BD9" s="85">
        <f>'[1]PEAK 6'!P37</f>
        <v>1.782</v>
      </c>
      <c r="BE9" s="85">
        <f>'[1]PEAK 6'!P36</f>
        <v>1.8440000000000001</v>
      </c>
      <c r="BN9" s="72">
        <v>1015.0337254901962</v>
      </c>
      <c r="BO9" s="72">
        <v>26.966260869565215</v>
      </c>
      <c r="BP9" s="72">
        <v>27.04</v>
      </c>
      <c r="BQ9" s="72">
        <v>35.604769230769229</v>
      </c>
      <c r="BR9" s="72">
        <v>35.708313725490193</v>
      </c>
    </row>
    <row r="10" spans="1:70">
      <c r="A10" s="78"/>
      <c r="B10" s="79" t="s">
        <v>114</v>
      </c>
      <c r="C10" s="80" t="s">
        <v>115</v>
      </c>
      <c r="M10" s="72">
        <v>9</v>
      </c>
      <c r="N10" s="81">
        <v>92.94</v>
      </c>
      <c r="O10" s="75">
        <v>92.94</v>
      </c>
      <c r="P10" s="75">
        <v>1.31</v>
      </c>
      <c r="Q10" s="75">
        <v>1.38</v>
      </c>
      <c r="R10" s="75">
        <v>1.31</v>
      </c>
      <c r="S10" s="75">
        <v>1.38</v>
      </c>
      <c r="T10" s="76">
        <v>0.97</v>
      </c>
      <c r="U10" s="76">
        <v>1.17</v>
      </c>
      <c r="V10" s="76">
        <v>1.3</v>
      </c>
      <c r="W10" s="77">
        <v>1E-3</v>
      </c>
      <c r="X10" s="77"/>
      <c r="Y10" s="75">
        <v>1.2</v>
      </c>
      <c r="Z10" s="75">
        <v>1.25</v>
      </c>
      <c r="AA10" s="76">
        <v>1.26</v>
      </c>
      <c r="AB10" s="75">
        <v>1.1299999999999999</v>
      </c>
      <c r="AC10" s="75">
        <v>1.19</v>
      </c>
      <c r="AD10" s="75">
        <v>1.17</v>
      </c>
      <c r="AE10" s="77"/>
      <c r="AF10" s="77"/>
      <c r="AG10" s="77"/>
      <c r="AH10" s="75">
        <v>1.96</v>
      </c>
      <c r="AI10" s="77"/>
      <c r="AJ10" s="75">
        <v>1.48</v>
      </c>
      <c r="AP10" s="72">
        <v>9</v>
      </c>
      <c r="AQ10" s="75">
        <v>1.48</v>
      </c>
      <c r="AR10" s="72">
        <f t="shared" si="0"/>
        <v>1.4406000000000001</v>
      </c>
      <c r="AS10" s="72">
        <f t="shared" si="1"/>
        <v>3.939999999999988E-2</v>
      </c>
      <c r="AU10" s="74"/>
      <c r="AV10" s="72">
        <v>28</v>
      </c>
      <c r="AZ10" s="83">
        <f>'[1]PEAK 7'!P31</f>
        <v>1.3382400000000014</v>
      </c>
      <c r="BA10" s="84">
        <f>'[1]PEAK 7'!P32</f>
        <v>3.0771373374531698E-2</v>
      </c>
      <c r="BB10" s="85">
        <f>'[1]PEAK 7'!P42</f>
        <v>1.8220000000000001</v>
      </c>
      <c r="BC10" s="85">
        <f>'[1]PEAK 7'!P41</f>
        <v>2.1669999999999998</v>
      </c>
      <c r="BD10" s="85">
        <f>'[1]PEAK 7'!P37</f>
        <v>1.754</v>
      </c>
      <c r="BE10" s="85">
        <f>'[1]PEAK 7'!P36</f>
        <v>2.085</v>
      </c>
      <c r="BN10" s="72">
        <v>1017.6141176470591</v>
      </c>
      <c r="BO10" s="72">
        <v>27.063652173913045</v>
      </c>
      <c r="BP10" s="72">
        <v>27.067250000000001</v>
      </c>
      <c r="BQ10" s="72">
        <v>35.553999999999995</v>
      </c>
      <c r="BR10" s="72">
        <v>35.70125490196078</v>
      </c>
    </row>
    <row r="11" spans="1:70">
      <c r="A11" s="78"/>
      <c r="B11" s="79" t="s">
        <v>116</v>
      </c>
      <c r="C11" s="80">
        <v>3100918563</v>
      </c>
      <c r="M11" s="72">
        <v>10</v>
      </c>
      <c r="N11" s="75">
        <v>93.156000000000006</v>
      </c>
      <c r="O11" s="76">
        <v>93.156000000000006</v>
      </c>
      <c r="P11" s="76">
        <v>1.28</v>
      </c>
      <c r="Q11" s="75">
        <v>1.38</v>
      </c>
      <c r="R11" s="76">
        <v>1.3</v>
      </c>
      <c r="S11" s="76">
        <v>1.31</v>
      </c>
      <c r="T11" s="75">
        <v>1.01</v>
      </c>
      <c r="U11" s="76">
        <v>1.19</v>
      </c>
      <c r="V11" s="75">
        <v>1.37</v>
      </c>
      <c r="W11" s="77">
        <v>6.0000000000000001E-3</v>
      </c>
      <c r="X11" s="77"/>
      <c r="Y11" s="76">
        <v>1.19</v>
      </c>
      <c r="Z11" s="76">
        <v>1.22</v>
      </c>
      <c r="AA11" s="75">
        <v>1.31</v>
      </c>
      <c r="AB11" s="75">
        <v>1.1399999999999999</v>
      </c>
      <c r="AC11" s="75">
        <v>1.22</v>
      </c>
      <c r="AD11" s="75">
        <v>1.1200000000000001</v>
      </c>
      <c r="AE11" s="77"/>
      <c r="AF11" s="77"/>
      <c r="AG11" s="77"/>
      <c r="AH11" s="75">
        <v>1.96</v>
      </c>
      <c r="AI11" s="77"/>
      <c r="AJ11" s="76">
        <v>1.45</v>
      </c>
      <c r="AP11" s="72">
        <v>10</v>
      </c>
      <c r="AQ11" s="76">
        <v>1.42</v>
      </c>
      <c r="AR11" s="72">
        <f t="shared" si="0"/>
        <v>1.4406000000000001</v>
      </c>
      <c r="AS11" s="72">
        <f t="shared" si="1"/>
        <v>-2.0600000000000174E-2</v>
      </c>
      <c r="AU11" s="74"/>
      <c r="AV11" s="72">
        <v>29</v>
      </c>
      <c r="AZ11" s="83">
        <f>'[1]PEAK 8'!P31</f>
        <v>5.1520000000000038E-3</v>
      </c>
      <c r="BA11" s="84">
        <f>'[1]PEAK 8'!P32</f>
        <v>2.9677187937386549E-3</v>
      </c>
      <c r="BB11" s="85">
        <f>'[1]PEAK 8'!P42</f>
        <v>-0.57899999999999996</v>
      </c>
      <c r="BC11" s="85">
        <f>'[1]PEAK 8'!P41</f>
        <v>0</v>
      </c>
      <c r="BD11" s="85">
        <f>'[1]PEAK 8'!P37</f>
        <v>-0.57099999999999995</v>
      </c>
      <c r="BE11" s="85">
        <f>'[1]PEAK 8'!P36</f>
        <v>0</v>
      </c>
      <c r="BN11" s="72">
        <v>1016.9415686274513</v>
      </c>
      <c r="BO11" s="72">
        <v>27.018434782608693</v>
      </c>
      <c r="BP11" s="72">
        <v>27.005000000000003</v>
      </c>
      <c r="BQ11" s="72">
        <v>35.537076923076924</v>
      </c>
      <c r="BR11" s="72">
        <v>35.675372549019606</v>
      </c>
    </row>
    <row r="12" spans="1:70">
      <c r="A12" s="78"/>
      <c r="B12" s="79" t="s">
        <v>117</v>
      </c>
      <c r="C12" s="89">
        <v>9.2957499999999985E-2</v>
      </c>
      <c r="M12" s="72">
        <v>11</v>
      </c>
      <c r="N12" s="81">
        <v>92.971999999999994</v>
      </c>
      <c r="O12" s="75">
        <v>92.971999999999994</v>
      </c>
      <c r="P12" s="75">
        <v>1.29</v>
      </c>
      <c r="Q12" s="76">
        <v>1.31</v>
      </c>
      <c r="R12" s="75">
        <v>1.32</v>
      </c>
      <c r="S12" s="75">
        <v>1.34</v>
      </c>
      <c r="T12" s="76">
        <v>0.99</v>
      </c>
      <c r="U12" s="75">
        <v>1.26</v>
      </c>
      <c r="V12" s="76">
        <v>1.32</v>
      </c>
      <c r="W12" s="77">
        <v>2E-3</v>
      </c>
      <c r="X12" s="77"/>
      <c r="Y12" s="75">
        <v>1.21</v>
      </c>
      <c r="Z12" s="75">
        <v>1.26</v>
      </c>
      <c r="AA12" s="76">
        <v>1.24</v>
      </c>
      <c r="AB12" s="75">
        <v>1.1200000000000001</v>
      </c>
      <c r="AC12" s="75">
        <v>1.23</v>
      </c>
      <c r="AD12" s="75">
        <v>1.1599999999999999</v>
      </c>
      <c r="AE12" s="77"/>
      <c r="AF12" s="77"/>
      <c r="AG12" s="77"/>
      <c r="AH12" s="75">
        <v>1.95</v>
      </c>
      <c r="AI12" s="77"/>
      <c r="AJ12" s="75">
        <v>1.46</v>
      </c>
      <c r="AP12" s="72">
        <v>11</v>
      </c>
      <c r="AQ12" s="75">
        <v>1.46</v>
      </c>
      <c r="AR12" s="72">
        <f t="shared" si="0"/>
        <v>1.4406000000000001</v>
      </c>
      <c r="AS12" s="72">
        <f t="shared" si="1"/>
        <v>1.9399999999999862E-2</v>
      </c>
      <c r="AU12" s="74"/>
      <c r="AV12" s="72">
        <v>30</v>
      </c>
      <c r="AZ12" s="83">
        <f>'[1]PEAK 9'!P31</f>
        <v>0</v>
      </c>
      <c r="BA12" s="84">
        <f>'[1]PEAK 9'!P32</f>
        <v>0</v>
      </c>
      <c r="BB12" s="85" t="e">
        <f>'[1]PEAK 9'!P42</f>
        <v>#DIV/0!</v>
      </c>
      <c r="BC12" s="85" t="e">
        <f>'[1]PEAK 9'!P41</f>
        <v>#DIV/0!</v>
      </c>
      <c r="BD12" s="85" t="e">
        <f>'[1]PEAK 9'!P37</f>
        <v>#DIV/0!</v>
      </c>
      <c r="BE12" s="85" t="e">
        <f>'[1]PEAK 9'!P36</f>
        <v>#DIV/0!</v>
      </c>
      <c r="BN12" s="72">
        <v>1020.0023529411765</v>
      </c>
      <c r="BO12" s="72">
        <v>26.93321739130435</v>
      </c>
      <c r="BP12" s="72">
        <v>27.016500000000001</v>
      </c>
      <c r="BQ12" s="72">
        <v>35.562076923076923</v>
      </c>
      <c r="BR12" s="72">
        <v>35.666745098039215</v>
      </c>
    </row>
    <row r="13" spans="1:70">
      <c r="A13" s="78"/>
      <c r="B13" s="79" t="s">
        <v>118</v>
      </c>
      <c r="C13" s="80" t="s">
        <v>31</v>
      </c>
      <c r="M13" s="72">
        <v>12</v>
      </c>
      <c r="N13" s="75">
        <v>93.15</v>
      </c>
      <c r="O13" s="76">
        <v>93.15</v>
      </c>
      <c r="P13" s="75">
        <v>1.33</v>
      </c>
      <c r="Q13" s="76">
        <v>1.35</v>
      </c>
      <c r="R13" s="76">
        <v>1.3</v>
      </c>
      <c r="S13" s="76">
        <v>1.32</v>
      </c>
      <c r="T13" s="75">
        <v>1.02</v>
      </c>
      <c r="U13" s="76">
        <v>1.2</v>
      </c>
      <c r="V13" s="75">
        <v>1.35</v>
      </c>
      <c r="W13" s="77">
        <v>1E-3</v>
      </c>
      <c r="X13" s="77"/>
      <c r="Y13" s="76">
        <v>1.18</v>
      </c>
      <c r="Z13" s="76">
        <v>1.21</v>
      </c>
      <c r="AA13" s="75">
        <v>1.31</v>
      </c>
      <c r="AB13" s="75">
        <v>1.1200000000000001</v>
      </c>
      <c r="AC13" s="75">
        <v>1.24</v>
      </c>
      <c r="AD13" s="75">
        <v>1.1599999999999999</v>
      </c>
      <c r="AE13" s="77"/>
      <c r="AF13" s="77"/>
      <c r="AG13" s="77"/>
      <c r="AH13" s="75">
        <v>1.96</v>
      </c>
      <c r="AI13" s="77"/>
      <c r="AJ13" s="76">
        <v>1.4390000000000001</v>
      </c>
      <c r="AP13" s="72">
        <v>12</v>
      </c>
      <c r="AQ13" s="76">
        <v>1.4390000000000001</v>
      </c>
      <c r="AR13" s="72">
        <f t="shared" si="0"/>
        <v>1.4406000000000001</v>
      </c>
      <c r="AS13" s="72">
        <f t="shared" si="1"/>
        <v>-1.6000000000000458E-3</v>
      </c>
      <c r="AU13" s="74"/>
      <c r="AV13" s="72">
        <v>31</v>
      </c>
      <c r="AZ13" s="83">
        <f>'[1]ROOT 1'!P31</f>
        <v>1.1946399999999993</v>
      </c>
      <c r="BA13" s="84">
        <f>'[1]ROOT 1'!P32</f>
        <v>1.9860156254461178E-2</v>
      </c>
      <c r="BB13" s="85">
        <f>'[1]ROOT 1'!P42</f>
        <v>1.768</v>
      </c>
      <c r="BC13" s="85">
        <f>'[1]ROOT 1'!P41</f>
        <v>2.5179999999999998</v>
      </c>
      <c r="BD13" s="85">
        <f>'[1]ROOT 1'!P37</f>
        <v>1.7270000000000001</v>
      </c>
      <c r="BE13" s="85">
        <f>'[1]ROOT 1'!P36</f>
        <v>2.4590000000000001</v>
      </c>
      <c r="BN13" s="72">
        <v>1017.4356862745102</v>
      </c>
      <c r="BO13" s="72">
        <v>26.929304347826086</v>
      </c>
      <c r="BP13" s="72">
        <v>27.032250000000001</v>
      </c>
      <c r="BQ13" s="72">
        <v>35.583230769230774</v>
      </c>
      <c r="BR13" s="72">
        <v>35.693411764705878</v>
      </c>
    </row>
    <row r="14" spans="1:70">
      <c r="A14" s="78"/>
      <c r="B14" s="79" t="s">
        <v>119</v>
      </c>
      <c r="C14" s="90">
        <v>43384</v>
      </c>
      <c r="M14" s="72">
        <v>13</v>
      </c>
      <c r="N14" s="81">
        <v>92.832999999999998</v>
      </c>
      <c r="O14" s="76">
        <v>93.003</v>
      </c>
      <c r="P14" s="76">
        <v>1.28</v>
      </c>
      <c r="Q14" s="75">
        <v>1.37</v>
      </c>
      <c r="R14" s="76">
        <v>1.27</v>
      </c>
      <c r="S14" s="75">
        <v>1.34</v>
      </c>
      <c r="T14" s="75">
        <v>1.01</v>
      </c>
      <c r="U14" s="75">
        <v>1.25</v>
      </c>
      <c r="V14" s="76">
        <v>1.29</v>
      </c>
      <c r="W14" s="77">
        <v>3.0000000000000001E-3</v>
      </c>
      <c r="X14" s="77"/>
      <c r="Y14" s="75">
        <v>1.21</v>
      </c>
      <c r="Z14" s="75">
        <v>1.25</v>
      </c>
      <c r="AA14" s="76">
        <v>1.27</v>
      </c>
      <c r="AB14" s="75">
        <v>1.1499999999999999</v>
      </c>
      <c r="AC14" s="75">
        <v>1.18</v>
      </c>
      <c r="AD14" s="75">
        <v>1.19</v>
      </c>
      <c r="AE14" s="77"/>
      <c r="AF14" s="77"/>
      <c r="AG14" s="77"/>
      <c r="AH14" s="75">
        <v>1.96</v>
      </c>
      <c r="AI14" s="77"/>
      <c r="AJ14" s="75">
        <v>1.46</v>
      </c>
      <c r="AP14" s="72">
        <v>13</v>
      </c>
      <c r="AQ14" s="75">
        <v>1.46</v>
      </c>
      <c r="AR14" s="72">
        <f t="shared" si="0"/>
        <v>1.4406000000000001</v>
      </c>
      <c r="AS14" s="72">
        <f t="shared" si="1"/>
        <v>1.9399999999999862E-2</v>
      </c>
      <c r="AU14" s="74"/>
      <c r="AV14" s="72">
        <v>32</v>
      </c>
      <c r="AZ14" s="83">
        <f>'[1]ROOT 2'!P31</f>
        <v>1.2257599999999997</v>
      </c>
      <c r="BA14" s="84">
        <f>'[1]ROOT 2'!P32</f>
        <v>2.2370199070451156E-2</v>
      </c>
      <c r="BB14" s="85">
        <f>'[1]ROOT 2'!P42</f>
        <v>2.0230000000000001</v>
      </c>
      <c r="BC14" s="85">
        <f>'[1]ROOT 2'!P41</f>
        <v>2.2349999999999999</v>
      </c>
      <c r="BD14" s="85">
        <f>'[1]ROOT 2'!P37</f>
        <v>1.972</v>
      </c>
      <c r="BE14" s="85">
        <f>'[1]ROOT 2'!P36</f>
        <v>2.1789999999999998</v>
      </c>
      <c r="BN14" s="72">
        <v>1016.6807843137256</v>
      </c>
      <c r="BO14" s="72">
        <v>26.919304347826088</v>
      </c>
      <c r="BP14" s="72">
        <v>27.053999999999998</v>
      </c>
      <c r="BQ14" s="72">
        <v>35.598230769230767</v>
      </c>
      <c r="BR14" s="72">
        <v>35.698509803921567</v>
      </c>
    </row>
    <row r="15" spans="1:70">
      <c r="A15" s="78"/>
      <c r="B15" s="79" t="s">
        <v>120</v>
      </c>
      <c r="C15" s="80" t="s">
        <v>121</v>
      </c>
      <c r="M15" s="72">
        <v>14</v>
      </c>
      <c r="N15" s="75">
        <v>93.183999999999997</v>
      </c>
      <c r="O15" s="75">
        <v>93.183999999999997</v>
      </c>
      <c r="P15" s="75">
        <v>1.29</v>
      </c>
      <c r="Q15" s="75">
        <v>1.38</v>
      </c>
      <c r="R15" s="75">
        <v>1.32</v>
      </c>
      <c r="S15" s="76">
        <v>1.29</v>
      </c>
      <c r="T15" s="76">
        <v>0.99</v>
      </c>
      <c r="U15" s="76">
        <v>1.18</v>
      </c>
      <c r="V15" s="76">
        <v>1.32</v>
      </c>
      <c r="W15" s="77">
        <v>4.0000000000000001E-3</v>
      </c>
      <c r="X15" s="77"/>
      <c r="Y15" s="76">
        <v>1.1599999999999999</v>
      </c>
      <c r="Z15" s="75">
        <v>1.25</v>
      </c>
      <c r="AA15" s="75">
        <v>1.3</v>
      </c>
      <c r="AB15" s="75">
        <v>1.1200000000000001</v>
      </c>
      <c r="AC15" s="75">
        <v>1.22</v>
      </c>
      <c r="AD15" s="75">
        <v>1.1399999999999999</v>
      </c>
      <c r="AE15" s="77"/>
      <c r="AF15" s="77"/>
      <c r="AG15" s="77"/>
      <c r="AH15" s="75">
        <v>1.95</v>
      </c>
      <c r="AI15" s="77"/>
      <c r="AJ15" s="76">
        <v>1.42</v>
      </c>
      <c r="AP15" s="72">
        <v>14</v>
      </c>
      <c r="AQ15" s="76">
        <v>1.42</v>
      </c>
      <c r="AR15" s="72">
        <f t="shared" si="0"/>
        <v>1.4406000000000001</v>
      </c>
      <c r="AS15" s="72">
        <f t="shared" si="1"/>
        <v>-2.0600000000000174E-2</v>
      </c>
      <c r="AU15" s="74"/>
      <c r="AV15" s="72">
        <v>33</v>
      </c>
      <c r="AZ15" s="83">
        <f>'[1]ROOT 3'!P31</f>
        <v>1.2752800000000004</v>
      </c>
      <c r="BA15" s="84">
        <f>'[1]ROOT 3'!P32</f>
        <v>2.1648809845853802E-2</v>
      </c>
      <c r="BB15" s="85">
        <f>'[1]ROOT 3'!P42</f>
        <v>1.929</v>
      </c>
      <c r="BC15" s="85">
        <f>'[1]ROOT 3'!P41</f>
        <v>2.31</v>
      </c>
      <c r="BD15" s="85">
        <f>'[1]ROOT 3'!P37</f>
        <v>1.7929999999999999</v>
      </c>
      <c r="BE15" s="85">
        <f>'[1]ROOT 3'!P36</f>
        <v>2.1469999999999998</v>
      </c>
      <c r="BN15" s="72">
        <v>1016.1454901960785</v>
      </c>
      <c r="BO15" s="72">
        <v>26.959304347826087</v>
      </c>
      <c r="BP15" s="72">
        <v>27.110000000000003</v>
      </c>
      <c r="BQ15" s="72">
        <v>35.557461538461538</v>
      </c>
      <c r="BR15" s="72">
        <v>35.681058823529412</v>
      </c>
    </row>
    <row r="16" spans="1:70">
      <c r="A16" s="78"/>
      <c r="B16" s="91" t="s">
        <v>122</v>
      </c>
      <c r="C16" s="80" t="s">
        <v>123</v>
      </c>
      <c r="M16" s="72">
        <v>15</v>
      </c>
      <c r="N16" s="81">
        <v>92.908000000000001</v>
      </c>
      <c r="O16" s="76">
        <v>92.908000000000001</v>
      </c>
      <c r="P16" s="75">
        <v>1.3</v>
      </c>
      <c r="Q16" s="76">
        <v>1.34</v>
      </c>
      <c r="R16" s="76">
        <v>1.26</v>
      </c>
      <c r="S16" s="76">
        <v>1.29</v>
      </c>
      <c r="T16" s="75">
        <v>1.01</v>
      </c>
      <c r="U16" s="75">
        <v>1.26</v>
      </c>
      <c r="V16" s="76">
        <v>1.3</v>
      </c>
      <c r="W16" s="77">
        <v>8.0000000000000002E-3</v>
      </c>
      <c r="X16" s="77"/>
      <c r="Y16" s="75">
        <v>1.2</v>
      </c>
      <c r="Z16" s="75">
        <v>1.26</v>
      </c>
      <c r="AA16" s="75">
        <v>1.28</v>
      </c>
      <c r="AB16" s="75">
        <v>1.18</v>
      </c>
      <c r="AC16" s="75">
        <v>1.19</v>
      </c>
      <c r="AD16" s="75">
        <v>1.1599999999999999</v>
      </c>
      <c r="AE16" s="77"/>
      <c r="AF16" s="77"/>
      <c r="AG16" s="77"/>
      <c r="AH16" s="75">
        <v>1.95</v>
      </c>
      <c r="AI16" s="77"/>
      <c r="AJ16" s="76">
        <v>1.4379999999999999</v>
      </c>
      <c r="AP16" s="72">
        <v>15</v>
      </c>
      <c r="AQ16" s="76">
        <v>1.4379999999999999</v>
      </c>
      <c r="AR16" s="72">
        <f t="shared" si="0"/>
        <v>1.4406000000000001</v>
      </c>
      <c r="AS16" s="72">
        <f t="shared" si="1"/>
        <v>-2.6000000000001577E-3</v>
      </c>
      <c r="AU16" s="74"/>
      <c r="AV16" s="72">
        <v>34</v>
      </c>
      <c r="AZ16" s="83">
        <f>'[1]ROOT 4'!P31</f>
        <v>1.1401600000000007</v>
      </c>
      <c r="BA16" s="84">
        <f>'[1]ROOT 4'!P32</f>
        <v>2.4853895651029335E-2</v>
      </c>
      <c r="BB16" s="85">
        <f>'[1]ROOT 4'!P42</f>
        <v>2.0099999999999998</v>
      </c>
      <c r="BC16" s="85">
        <f>'[1]ROOT 4'!P41</f>
        <v>2.012</v>
      </c>
      <c r="BD16" s="85">
        <f>'[1]ROOT 4'!P37</f>
        <v>1.996</v>
      </c>
      <c r="BE16" s="85">
        <f>'[1]ROOT 4'!P36</f>
        <v>1.998</v>
      </c>
      <c r="BN16" s="72">
        <v>1017.600392156863</v>
      </c>
      <c r="BO16" s="72">
        <v>27.011478260869566</v>
      </c>
      <c r="BP16" s="72">
        <v>27.039000000000001</v>
      </c>
      <c r="BQ16" s="72">
        <v>35.598230769230767</v>
      </c>
      <c r="BR16" s="72">
        <v>35.67654901960784</v>
      </c>
    </row>
    <row r="17" spans="1:70">
      <c r="A17" s="78"/>
      <c r="B17" s="79" t="s">
        <v>124</v>
      </c>
      <c r="C17" s="80">
        <v>3597</v>
      </c>
      <c r="M17" s="72">
        <v>16</v>
      </c>
      <c r="N17" s="75">
        <v>93.049000000000007</v>
      </c>
      <c r="O17" s="76">
        <v>93.049000000000007</v>
      </c>
      <c r="P17" s="76">
        <v>1.26</v>
      </c>
      <c r="Q17" s="75">
        <v>1.39</v>
      </c>
      <c r="R17" s="75">
        <v>1.32</v>
      </c>
      <c r="S17" s="75">
        <v>1.35</v>
      </c>
      <c r="T17" s="75">
        <v>1.03</v>
      </c>
      <c r="U17" s="76">
        <v>1.21</v>
      </c>
      <c r="V17" s="75">
        <v>1.35</v>
      </c>
      <c r="W17" s="77">
        <v>8.9999999999999993E-3</v>
      </c>
      <c r="X17" s="77"/>
      <c r="Y17" s="75">
        <v>1.2</v>
      </c>
      <c r="Z17" s="76">
        <v>1.19</v>
      </c>
      <c r="AA17" s="76">
        <v>1.27</v>
      </c>
      <c r="AB17" s="75">
        <v>1.1299999999999999</v>
      </c>
      <c r="AC17" s="75">
        <v>1.19</v>
      </c>
      <c r="AD17" s="75">
        <v>1.1299999999999999</v>
      </c>
      <c r="AE17" s="77"/>
      <c r="AF17" s="77"/>
      <c r="AG17" s="77"/>
      <c r="AH17" s="75">
        <v>1.94</v>
      </c>
      <c r="AI17" s="77"/>
      <c r="AJ17" s="75">
        <v>1.45</v>
      </c>
      <c r="AP17" s="72">
        <v>16</v>
      </c>
      <c r="AQ17" s="75">
        <v>1.45</v>
      </c>
      <c r="AR17" s="72">
        <f t="shared" si="0"/>
        <v>1.4406000000000001</v>
      </c>
      <c r="AS17" s="72">
        <f t="shared" si="1"/>
        <v>9.3999999999998529E-3</v>
      </c>
      <c r="AU17" s="74"/>
      <c r="AV17" s="72">
        <v>35</v>
      </c>
      <c r="AZ17" s="83">
        <f>'[1]ROOT 5'!P31</f>
        <v>1.2115999999999993</v>
      </c>
      <c r="BA17" s="84">
        <f>'[1]ROOT 5'!P32</f>
        <v>2.4143388863340064E-2</v>
      </c>
      <c r="BB17" s="85">
        <f>'[1]ROOT 5'!P42</f>
        <v>1.7729999999999999</v>
      </c>
      <c r="BC17" s="85">
        <f>'[1]ROOT 5'!P41</f>
        <v>2.0710000000000002</v>
      </c>
      <c r="BD17" s="85">
        <f>'[1]ROOT 5'!P37</f>
        <v>1.722</v>
      </c>
      <c r="BE17" s="85">
        <f>'[1]ROOT 5'!P36</f>
        <v>2.012</v>
      </c>
      <c r="BN17" s="72">
        <v>1016.1454901960785</v>
      </c>
      <c r="BO17" s="72">
        <v>26.929739130434783</v>
      </c>
      <c r="BP17" s="72">
        <v>26.96</v>
      </c>
      <c r="BQ17" s="72">
        <v>35.606307692307695</v>
      </c>
      <c r="BR17" s="72">
        <v>35.716941176470584</v>
      </c>
    </row>
    <row r="18" spans="1:70">
      <c r="A18" s="78"/>
      <c r="B18" s="79" t="s">
        <v>125</v>
      </c>
      <c r="C18" s="92" t="s">
        <v>126</v>
      </c>
      <c r="M18" s="72">
        <v>17</v>
      </c>
      <c r="N18" s="81">
        <v>92.9</v>
      </c>
      <c r="O18" s="75">
        <v>92.9</v>
      </c>
      <c r="P18" s="75">
        <v>1.32</v>
      </c>
      <c r="Q18" s="75">
        <v>1.36</v>
      </c>
      <c r="R18" s="76">
        <v>1.3</v>
      </c>
      <c r="S18" s="76">
        <v>1.33</v>
      </c>
      <c r="T18" s="76">
        <v>0.98</v>
      </c>
      <c r="U18" s="75">
        <v>1.24</v>
      </c>
      <c r="V18" s="75">
        <v>1.36</v>
      </c>
      <c r="W18" s="77">
        <v>1E-3</v>
      </c>
      <c r="X18" s="77"/>
      <c r="Y18" s="76">
        <v>1.19</v>
      </c>
      <c r="Z18" s="75">
        <v>1.25</v>
      </c>
      <c r="AA18" s="75">
        <v>1.31</v>
      </c>
      <c r="AB18" s="75">
        <v>1.1499999999999999</v>
      </c>
      <c r="AC18" s="75">
        <v>1.23</v>
      </c>
      <c r="AD18" s="75">
        <v>1.1499999999999999</v>
      </c>
      <c r="AE18" s="77"/>
      <c r="AF18" s="77"/>
      <c r="AG18" s="77"/>
      <c r="AH18" s="75">
        <v>1.95</v>
      </c>
      <c r="AI18" s="77"/>
      <c r="AJ18" s="76">
        <v>1.44</v>
      </c>
      <c r="AP18" s="72">
        <v>17</v>
      </c>
      <c r="AQ18" s="75">
        <v>1.46</v>
      </c>
      <c r="AR18" s="72">
        <f t="shared" si="0"/>
        <v>1.4406000000000001</v>
      </c>
      <c r="AS18" s="72">
        <f t="shared" si="1"/>
        <v>1.9399999999999862E-2</v>
      </c>
      <c r="AU18" s="74"/>
      <c r="AV18" s="72">
        <v>36</v>
      </c>
      <c r="AZ18" s="83">
        <f>'[1]ROOT 6'!P31</f>
        <v>1.1691200000000006</v>
      </c>
      <c r="BA18" s="84">
        <f>'[1]ROOT 6'!P32</f>
        <v>2.8709220728517015E-2</v>
      </c>
      <c r="BB18" s="85">
        <f>'[1]ROOT 6'!P42</f>
        <v>1.964</v>
      </c>
      <c r="BC18" s="85">
        <f>'[1]ROOT 6'!P41</f>
        <v>2.3220000000000001</v>
      </c>
      <c r="BD18" s="85">
        <f>'[1]ROOT 6'!P37</f>
        <v>1.99</v>
      </c>
      <c r="BE18" s="85">
        <f>'[1]ROOT 6'!P36</f>
        <v>2.3530000000000002</v>
      </c>
      <c r="BN18" s="72">
        <v>1017.3258823529411</v>
      </c>
      <c r="BO18" s="72">
        <v>26.951043478260868</v>
      </c>
      <c r="BP18" s="72">
        <v>27.02675</v>
      </c>
      <c r="BQ18" s="72">
        <v>35.602846153846158</v>
      </c>
      <c r="BR18" s="72">
        <v>35.678509803921571</v>
      </c>
    </row>
    <row r="19" spans="1:70">
      <c r="A19" s="78"/>
      <c r="B19" s="79" t="s">
        <v>127</v>
      </c>
      <c r="C19" s="80" t="s">
        <v>128</v>
      </c>
      <c r="M19" s="72">
        <v>18</v>
      </c>
      <c r="N19" s="75">
        <v>93.269000000000005</v>
      </c>
      <c r="O19" s="76">
        <v>93.269000000000005</v>
      </c>
      <c r="P19" s="75">
        <v>1.3</v>
      </c>
      <c r="Q19" s="76">
        <v>1.35</v>
      </c>
      <c r="R19" s="76">
        <v>1.27</v>
      </c>
      <c r="S19" s="76">
        <v>1.33</v>
      </c>
      <c r="T19" s="75">
        <v>1.02</v>
      </c>
      <c r="U19" s="76">
        <v>1.19</v>
      </c>
      <c r="V19" s="76">
        <v>1.29</v>
      </c>
      <c r="W19" s="77">
        <v>8.9999999999999993E-3</v>
      </c>
      <c r="X19" s="77"/>
      <c r="Y19" s="75">
        <v>1.21</v>
      </c>
      <c r="Z19" s="75">
        <v>1.25</v>
      </c>
      <c r="AA19" s="76">
        <v>1.27</v>
      </c>
      <c r="AB19" s="75">
        <v>1.1000000000000001</v>
      </c>
      <c r="AC19" s="75">
        <v>1.2</v>
      </c>
      <c r="AD19" s="75">
        <v>1.18</v>
      </c>
      <c r="AE19" s="77"/>
      <c r="AF19" s="77"/>
      <c r="AG19" s="77"/>
      <c r="AH19" s="75">
        <v>1.97</v>
      </c>
      <c r="AI19" s="77"/>
      <c r="AJ19" s="75">
        <v>1.46</v>
      </c>
      <c r="AP19" s="72">
        <v>18</v>
      </c>
      <c r="AQ19" s="75">
        <v>1.46</v>
      </c>
      <c r="AR19" s="72">
        <f t="shared" si="0"/>
        <v>1.4406000000000001</v>
      </c>
      <c r="AS19" s="72">
        <f t="shared" si="1"/>
        <v>1.9399999999999862E-2</v>
      </c>
      <c r="AU19" s="74"/>
      <c r="AV19" s="72">
        <v>37</v>
      </c>
      <c r="AZ19" s="83">
        <f>'[1]ROOT 7'!P31</f>
        <v>0</v>
      </c>
      <c r="BA19" s="84">
        <f>'[1]ROOT 7'!P32</f>
        <v>0</v>
      </c>
      <c r="BB19" s="85" t="e">
        <f>'[1]ROOT 7'!P42</f>
        <v>#DIV/0!</v>
      </c>
      <c r="BC19" s="85" t="e">
        <f>'[1]ROOT 7'!P41</f>
        <v>#DIV/0!</v>
      </c>
      <c r="BD19" s="85" t="e">
        <f>'[1]ROOT 7'!P37</f>
        <v>#DIV/0!</v>
      </c>
      <c r="BE19" s="85" t="e">
        <f>'[1]ROOT 7'!P36</f>
        <v>#DIV/0!</v>
      </c>
      <c r="BN19" s="72">
        <v>1017.6415686274512</v>
      </c>
      <c r="BO19" s="72">
        <v>26.854086956521737</v>
      </c>
      <c r="BP19" s="72">
        <v>27.02975</v>
      </c>
      <c r="BQ19" s="72">
        <v>35.53169230769231</v>
      </c>
      <c r="BR19" s="72">
        <v>35.698901960784312</v>
      </c>
    </row>
    <row r="20" spans="1:70">
      <c r="A20" s="78"/>
      <c r="B20" s="79" t="s">
        <v>129</v>
      </c>
      <c r="C20" s="80" t="s">
        <v>130</v>
      </c>
      <c r="M20" s="72">
        <v>19</v>
      </c>
      <c r="N20" s="81">
        <v>92.926000000000002</v>
      </c>
      <c r="O20" s="76">
        <v>92.926000000000002</v>
      </c>
      <c r="P20" s="76">
        <v>1.25</v>
      </c>
      <c r="Q20" s="75">
        <v>1.38</v>
      </c>
      <c r="R20" s="75">
        <v>1.32</v>
      </c>
      <c r="S20" s="75">
        <v>1.34</v>
      </c>
      <c r="T20" s="76">
        <v>0.98</v>
      </c>
      <c r="U20" s="75">
        <v>1.24</v>
      </c>
      <c r="V20" s="76">
        <v>1.33</v>
      </c>
      <c r="W20" s="77">
        <v>6.0000000000000001E-3</v>
      </c>
      <c r="X20" s="77"/>
      <c r="Y20" s="76">
        <v>1.18</v>
      </c>
      <c r="Z20" s="76">
        <v>1.22</v>
      </c>
      <c r="AA20" s="75">
        <v>1.3</v>
      </c>
      <c r="AB20" s="75">
        <v>1.1299999999999999</v>
      </c>
      <c r="AC20" s="75">
        <v>1.2</v>
      </c>
      <c r="AD20" s="75">
        <v>1.1399999999999999</v>
      </c>
      <c r="AE20" s="77"/>
      <c r="AF20" s="77"/>
      <c r="AG20" s="77"/>
      <c r="AH20" s="75">
        <v>1.95</v>
      </c>
      <c r="AI20" s="77"/>
      <c r="AJ20" s="76">
        <v>1.45</v>
      </c>
      <c r="AP20" s="72">
        <v>19</v>
      </c>
      <c r="AQ20" s="76">
        <v>1.42</v>
      </c>
      <c r="AR20" s="72">
        <f t="shared" si="0"/>
        <v>1.4406000000000001</v>
      </c>
      <c r="AS20" s="72">
        <f t="shared" si="1"/>
        <v>-2.0600000000000174E-2</v>
      </c>
      <c r="AU20" s="74"/>
      <c r="AV20" s="72">
        <v>38</v>
      </c>
      <c r="AZ20" s="83">
        <f>'[1]ROOT 8'!P31</f>
        <v>0</v>
      </c>
      <c r="BA20" s="84">
        <f>'[1]ROOT 8'!P32</f>
        <v>0</v>
      </c>
      <c r="BB20" s="85" t="e">
        <f>'[1]ROOT 8'!P42</f>
        <v>#DIV/0!</v>
      </c>
      <c r="BC20" s="85" t="e">
        <f>'[1]ROOT 8'!P41</f>
        <v>#DIV/0!</v>
      </c>
      <c r="BD20" s="85" t="e">
        <f>'[1]ROOT 8'!P37</f>
        <v>#DIV/0!</v>
      </c>
      <c r="BE20" s="85" t="e">
        <f>'[1]ROOT 8'!P36</f>
        <v>#DIV/0!</v>
      </c>
      <c r="BN20" s="72">
        <v>1014.8141176470591</v>
      </c>
      <c r="BO20" s="72">
        <v>26.985391304347825</v>
      </c>
      <c r="BP20" s="72">
        <v>27.062999999999999</v>
      </c>
      <c r="BQ20" s="72">
        <v>35.555923076923079</v>
      </c>
      <c r="BR20" s="72">
        <v>35.672235294117648</v>
      </c>
    </row>
    <row r="21" spans="1:70">
      <c r="A21" s="78"/>
      <c r="B21" s="79" t="s">
        <v>131</v>
      </c>
      <c r="C21" s="92" t="s">
        <v>132</v>
      </c>
      <c r="M21" s="72">
        <v>20</v>
      </c>
      <c r="N21" s="75">
        <v>93.037999999999997</v>
      </c>
      <c r="O21" s="75">
        <v>93.037999999999997</v>
      </c>
      <c r="P21" s="75">
        <v>1.32</v>
      </c>
      <c r="Q21" s="76">
        <v>1.32</v>
      </c>
      <c r="R21" s="76">
        <v>1.3</v>
      </c>
      <c r="S21" s="75">
        <v>1.35</v>
      </c>
      <c r="T21" s="76">
        <v>0.97</v>
      </c>
      <c r="U21" s="75">
        <v>1.21</v>
      </c>
      <c r="V21" s="75">
        <v>1.36</v>
      </c>
      <c r="W21" s="77">
        <v>8.0000000000000002E-3</v>
      </c>
      <c r="X21" s="77"/>
      <c r="Y21" s="75">
        <v>1.21</v>
      </c>
      <c r="Z21" s="75">
        <v>1.24</v>
      </c>
      <c r="AA21" s="76">
        <v>1.27</v>
      </c>
      <c r="AB21" s="75">
        <v>1.1200000000000001</v>
      </c>
      <c r="AC21" s="75">
        <v>1.19</v>
      </c>
      <c r="AD21" s="75">
        <v>1.17</v>
      </c>
      <c r="AE21" s="77"/>
      <c r="AF21" s="77"/>
      <c r="AG21" s="77"/>
      <c r="AH21" s="75">
        <v>1.95</v>
      </c>
      <c r="AI21" s="77"/>
      <c r="AJ21" s="76">
        <v>1.4379999999999999</v>
      </c>
      <c r="AP21" s="72">
        <v>20</v>
      </c>
      <c r="AQ21" s="76">
        <v>1.4379999999999999</v>
      </c>
      <c r="AR21" s="72">
        <f t="shared" si="0"/>
        <v>1.4406000000000001</v>
      </c>
      <c r="AS21" s="72">
        <f t="shared" si="1"/>
        <v>-2.6000000000001577E-3</v>
      </c>
      <c r="AU21" s="74"/>
      <c r="AV21" s="72">
        <v>39</v>
      </c>
      <c r="AZ21" s="83">
        <f>[1]THKC!P31</f>
        <v>1.9566399999999988</v>
      </c>
      <c r="BA21" s="84">
        <f>[1]THKC!P32</f>
        <v>1.114016273698242E-2</v>
      </c>
      <c r="BB21" s="85">
        <f>[1]THKC!P42</f>
        <v>1.6950000000000001</v>
      </c>
      <c r="BC21" s="85">
        <f>[1]THKC!P41</f>
        <v>2.992</v>
      </c>
      <c r="BD21" s="85">
        <f>[1]THKC!P37</f>
        <v>1.671</v>
      </c>
      <c r="BE21" s="85">
        <f>[1]THKC!P36</f>
        <v>2.9510000000000001</v>
      </c>
      <c r="BN21" s="72">
        <v>1017.50431372549</v>
      </c>
      <c r="BO21" s="72">
        <v>26.955826086956517</v>
      </c>
      <c r="BP21" s="72">
        <v>26.96</v>
      </c>
      <c r="BQ21" s="72">
        <v>35.58938461538461</v>
      </c>
      <c r="BR21" s="72">
        <v>35.685960784313721</v>
      </c>
    </row>
    <row r="22" spans="1:70">
      <c r="A22" s="78"/>
      <c r="B22" s="79" t="s">
        <v>133</v>
      </c>
      <c r="C22" s="80" t="s">
        <v>134</v>
      </c>
      <c r="D22" s="93">
        <v>92.8</v>
      </c>
      <c r="E22" s="93">
        <v>1.5</v>
      </c>
      <c r="F22" s="93">
        <f>E22</f>
        <v>1.5</v>
      </c>
      <c r="G22" s="72">
        <f>D22-E22</f>
        <v>91.3</v>
      </c>
      <c r="H22" s="72">
        <f>D22+F22</f>
        <v>94.3</v>
      </c>
      <c r="I22" s="72" t="s">
        <v>135</v>
      </c>
      <c r="J22" s="72" t="str">
        <f>C22</f>
        <v>Weight 92.8 +/-1.5</v>
      </c>
      <c r="K22" s="72" t="str">
        <f>CONCATENATE(D22,I22,E22)</f>
        <v>92.8 +/-1.5</v>
      </c>
      <c r="M22" s="72">
        <v>21</v>
      </c>
      <c r="N22" s="81">
        <v>92.944000000000003</v>
      </c>
      <c r="O22" s="75">
        <v>92.944000000000003</v>
      </c>
      <c r="P22" s="76">
        <v>1.28</v>
      </c>
      <c r="Q22" s="75">
        <v>1.4</v>
      </c>
      <c r="R22" s="75">
        <v>1.34</v>
      </c>
      <c r="S22" s="76">
        <v>1.3</v>
      </c>
      <c r="T22" s="75">
        <v>1.04</v>
      </c>
      <c r="U22" s="76">
        <v>1.2</v>
      </c>
      <c r="V22" s="76">
        <v>1.32</v>
      </c>
      <c r="W22" s="77">
        <v>4.0000000000000001E-3</v>
      </c>
      <c r="X22" s="77"/>
      <c r="Y22" s="75">
        <v>1.2</v>
      </c>
      <c r="Z22" s="75">
        <v>1.24</v>
      </c>
      <c r="AA22" s="76">
        <v>1.27</v>
      </c>
      <c r="AB22" s="75">
        <v>1.1299999999999999</v>
      </c>
      <c r="AC22" s="75">
        <v>1.21</v>
      </c>
      <c r="AD22" s="75">
        <v>1.1499999999999999</v>
      </c>
      <c r="AE22" s="77"/>
      <c r="AF22" s="77"/>
      <c r="AG22" s="77"/>
      <c r="AH22" s="75">
        <v>1.96</v>
      </c>
      <c r="AI22" s="77"/>
      <c r="AJ22" s="76">
        <v>1.42</v>
      </c>
      <c r="AP22" s="72">
        <v>21</v>
      </c>
      <c r="AQ22" s="76">
        <v>1.42</v>
      </c>
      <c r="AR22" s="72">
        <f t="shared" si="0"/>
        <v>1.4406000000000001</v>
      </c>
      <c r="AS22" s="72">
        <f t="shared" si="1"/>
        <v>-2.0600000000000174E-2</v>
      </c>
      <c r="AU22" s="74"/>
      <c r="AV22" s="72">
        <v>40</v>
      </c>
      <c r="AZ22" s="83">
        <f>[1]THKF!P31</f>
        <v>1.44364</v>
      </c>
      <c r="BA22" s="84">
        <f>[1]THKF!P32</f>
        <v>1.5593836665025205E-2</v>
      </c>
      <c r="BB22" s="85">
        <f>[1]THKF!P42</f>
        <v>2.0019999999999998</v>
      </c>
      <c r="BC22" s="85">
        <f>[1]THKF!P41</f>
        <v>2.1379999999999999</v>
      </c>
      <c r="BD22" s="85">
        <f>[1]THKF!P37</f>
        <v>1.7749999999999999</v>
      </c>
      <c r="BE22" s="85">
        <f>[1]THKF!P36</f>
        <v>1.895</v>
      </c>
      <c r="BN22" s="72">
        <v>1017.6278431372551</v>
      </c>
      <c r="BO22" s="72">
        <v>26.907999999999994</v>
      </c>
      <c r="BP22" s="72">
        <v>27.024249999999999</v>
      </c>
      <c r="BQ22" s="72">
        <v>35.675538461538466</v>
      </c>
      <c r="BR22" s="72">
        <v>35.680666666666667</v>
      </c>
    </row>
    <row r="23" spans="1:70">
      <c r="A23" s="78"/>
      <c r="B23" s="79" t="s">
        <v>136</v>
      </c>
      <c r="C23" s="80" t="s">
        <v>137</v>
      </c>
      <c r="D23" s="93">
        <v>1.29</v>
      </c>
      <c r="E23" s="93">
        <v>0.15</v>
      </c>
      <c r="F23" s="93">
        <f t="shared" ref="F23:F37" si="2">E23</f>
        <v>0.15</v>
      </c>
      <c r="G23" s="72">
        <f t="shared" ref="G23:G41" si="3">D23-E23</f>
        <v>1.1400000000000001</v>
      </c>
      <c r="H23" s="72">
        <f t="shared" ref="H23:H41" si="4">D23+F23</f>
        <v>1.44</v>
      </c>
      <c r="I23" s="72" t="s">
        <v>135</v>
      </c>
      <c r="J23" s="72" t="str">
        <f t="shared" ref="J23:J44" si="5">C23</f>
        <v>1 Peak 1.29 +/-0.15</v>
      </c>
      <c r="K23" s="72" t="str">
        <f t="shared" ref="K23:K45" si="6">CONCATENATE(D23,I23,E23)</f>
        <v>1.29 +/-0.15</v>
      </c>
      <c r="M23" s="72">
        <v>22</v>
      </c>
      <c r="N23" s="75">
        <v>93.242999999999995</v>
      </c>
      <c r="O23" s="76">
        <v>93.242999999999995</v>
      </c>
      <c r="P23" s="75">
        <v>1.3</v>
      </c>
      <c r="Q23" s="76">
        <v>1.35</v>
      </c>
      <c r="R23" s="76">
        <v>1.3</v>
      </c>
      <c r="S23" s="75">
        <v>1.36</v>
      </c>
      <c r="T23" s="76">
        <v>0.98</v>
      </c>
      <c r="U23" s="75">
        <v>1.24</v>
      </c>
      <c r="V23" s="75">
        <v>1.39</v>
      </c>
      <c r="W23" s="77">
        <v>3.0000000000000001E-3</v>
      </c>
      <c r="X23" s="77"/>
      <c r="Y23" s="76">
        <v>1.19</v>
      </c>
      <c r="Z23" s="75">
        <v>1.26</v>
      </c>
      <c r="AA23" s="75">
        <v>1.3</v>
      </c>
      <c r="AB23" s="75">
        <v>1.1399999999999999</v>
      </c>
      <c r="AC23" s="75">
        <v>1.21</v>
      </c>
      <c r="AD23" s="75">
        <v>1.19</v>
      </c>
      <c r="AE23" s="77"/>
      <c r="AF23" s="77"/>
      <c r="AG23" s="77"/>
      <c r="AH23" s="75">
        <v>1.95</v>
      </c>
      <c r="AI23" s="77"/>
      <c r="AJ23" s="76">
        <v>1.44</v>
      </c>
      <c r="AP23" s="72">
        <v>22</v>
      </c>
      <c r="AQ23" s="76">
        <v>1.44</v>
      </c>
      <c r="AR23" s="72">
        <f t="shared" si="0"/>
        <v>1.4406000000000001</v>
      </c>
      <c r="AS23" s="72">
        <f t="shared" si="1"/>
        <v>-6.0000000000015596E-4</v>
      </c>
      <c r="AU23" s="74"/>
      <c r="AV23" s="72">
        <v>41</v>
      </c>
      <c r="AZ23" s="83">
        <f>[1]Weight!P31</f>
        <v>93.084271999999984</v>
      </c>
      <c r="BA23" s="84">
        <f>[1]Weight!P32</f>
        <v>7.9159432425551846E-2</v>
      </c>
      <c r="BB23" s="85">
        <f>[1]Weight!P42</f>
        <v>5.1189999999999998</v>
      </c>
      <c r="BC23" s="85">
        <f>[1]Weight!P41</f>
        <v>6.3159999999999998</v>
      </c>
      <c r="BD23" s="85">
        <f>[1]Weight!P37</f>
        <v>5.3440000000000003</v>
      </c>
      <c r="BE23" s="85">
        <f>[1]Weight!P36</f>
        <v>6.5940000000000003</v>
      </c>
      <c r="BN23" s="72">
        <v>1017.9435294117646</v>
      </c>
      <c r="BO23" s="72">
        <v>26.902347826086956</v>
      </c>
      <c r="BP23" s="72">
        <v>27.062249999999999</v>
      </c>
      <c r="BQ23" s="72">
        <v>35.566307692307696</v>
      </c>
      <c r="BR23" s="72">
        <v>35.671999999999997</v>
      </c>
    </row>
    <row r="24" spans="1:70">
      <c r="A24" s="78"/>
      <c r="B24" s="79" t="s">
        <v>138</v>
      </c>
      <c r="C24" s="80" t="s">
        <v>139</v>
      </c>
      <c r="D24" s="93">
        <v>1.36</v>
      </c>
      <c r="E24" s="93">
        <v>0.15</v>
      </c>
      <c r="F24" s="93">
        <f t="shared" si="2"/>
        <v>0.15</v>
      </c>
      <c r="G24" s="72">
        <f t="shared" si="3"/>
        <v>1.2100000000000002</v>
      </c>
      <c r="H24" s="72">
        <f t="shared" si="4"/>
        <v>1.51</v>
      </c>
      <c r="I24" s="72" t="s">
        <v>135</v>
      </c>
      <c r="J24" s="72" t="str">
        <f t="shared" si="5"/>
        <v>2 Peak 1.36 +/-0.15</v>
      </c>
      <c r="K24" s="72" t="str">
        <f t="shared" si="6"/>
        <v>1.36 +/-0.15</v>
      </c>
      <c r="M24" s="72">
        <v>23</v>
      </c>
      <c r="N24" s="75">
        <v>93.037000000000006</v>
      </c>
      <c r="O24" s="75">
        <v>93.037000000000006</v>
      </c>
      <c r="P24" s="76">
        <v>1.23</v>
      </c>
      <c r="Q24" s="76">
        <v>1.35</v>
      </c>
      <c r="R24" s="75">
        <v>1.34</v>
      </c>
      <c r="S24" s="76">
        <v>1.32</v>
      </c>
      <c r="T24" s="75">
        <v>1.02</v>
      </c>
      <c r="U24" s="75">
        <v>1.25</v>
      </c>
      <c r="V24" s="76">
        <v>1.33</v>
      </c>
      <c r="W24" s="77">
        <v>7.0000000000000001E-3</v>
      </c>
      <c r="X24" s="77"/>
      <c r="Y24" s="75">
        <v>1.22</v>
      </c>
      <c r="Z24" s="76">
        <v>1.21</v>
      </c>
      <c r="AA24" s="76">
        <v>1.26</v>
      </c>
      <c r="AB24" s="75">
        <v>1.17</v>
      </c>
      <c r="AC24" s="75">
        <v>1.18</v>
      </c>
      <c r="AD24" s="75">
        <v>1.1299999999999999</v>
      </c>
      <c r="AE24" s="77"/>
      <c r="AF24" s="77"/>
      <c r="AG24" s="77"/>
      <c r="AH24" s="75">
        <v>1.96</v>
      </c>
      <c r="AI24" s="77"/>
      <c r="AJ24" s="75">
        <v>1.46</v>
      </c>
      <c r="AP24" s="72">
        <v>23</v>
      </c>
      <c r="AQ24" s="75">
        <v>1.46</v>
      </c>
      <c r="AR24" s="72">
        <f t="shared" si="0"/>
        <v>1.4406000000000001</v>
      </c>
      <c r="AS24" s="72">
        <f t="shared" si="1"/>
        <v>1.9399999999999862E-2</v>
      </c>
      <c r="AU24" s="74"/>
      <c r="AV24" s="72">
        <v>42</v>
      </c>
      <c r="BN24" s="72">
        <v>1017.3670588235293</v>
      </c>
      <c r="BO24" s="72">
        <v>26.934086956521735</v>
      </c>
      <c r="BP24" s="72">
        <v>27.03875</v>
      </c>
      <c r="BQ24" s="72">
        <v>35.58938461538461</v>
      </c>
      <c r="BR24" s="72">
        <v>35.69027450980392</v>
      </c>
    </row>
    <row r="25" spans="1:70">
      <c r="A25" s="78"/>
      <c r="B25" s="79" t="s">
        <v>140</v>
      </c>
      <c r="C25" s="80" t="s">
        <v>141</v>
      </c>
      <c r="D25" s="93">
        <v>1.29</v>
      </c>
      <c r="E25" s="93">
        <v>0.15</v>
      </c>
      <c r="F25" s="93">
        <f t="shared" si="2"/>
        <v>0.15</v>
      </c>
      <c r="G25" s="72">
        <f t="shared" si="3"/>
        <v>1.1400000000000001</v>
      </c>
      <c r="H25" s="72">
        <f t="shared" si="4"/>
        <v>1.44</v>
      </c>
      <c r="I25" s="72" t="s">
        <v>135</v>
      </c>
      <c r="J25" s="72" t="str">
        <f t="shared" si="5"/>
        <v>3 Peak 1.29 +/-0.15</v>
      </c>
      <c r="K25" s="72" t="str">
        <f t="shared" si="6"/>
        <v>1.29 +/-0.15</v>
      </c>
      <c r="M25" s="72">
        <v>24</v>
      </c>
      <c r="N25" s="75">
        <v>93.16</v>
      </c>
      <c r="O25" s="76">
        <v>93.16</v>
      </c>
      <c r="P25" s="76">
        <v>1.25</v>
      </c>
      <c r="Q25" s="75">
        <v>1.36</v>
      </c>
      <c r="R25" s="76">
        <v>1.25</v>
      </c>
      <c r="S25" s="75">
        <v>1.35</v>
      </c>
      <c r="T25" s="75">
        <v>1.04</v>
      </c>
      <c r="U25" s="76">
        <v>1.18</v>
      </c>
      <c r="V25" s="76">
        <v>1.29</v>
      </c>
      <c r="W25" s="77">
        <v>1E-3</v>
      </c>
      <c r="X25" s="77"/>
      <c r="Y25" s="76">
        <v>1.1599999999999999</v>
      </c>
      <c r="Z25" s="75">
        <v>1.23</v>
      </c>
      <c r="AA25" s="75">
        <v>1.28</v>
      </c>
      <c r="AB25" s="75">
        <v>1.17</v>
      </c>
      <c r="AC25" s="75">
        <v>1.23</v>
      </c>
      <c r="AD25" s="75">
        <v>1.1299999999999999</v>
      </c>
      <c r="AE25" s="77"/>
      <c r="AF25" s="77"/>
      <c r="AG25" s="77"/>
      <c r="AH25" s="75">
        <v>1.94</v>
      </c>
      <c r="AI25" s="77"/>
      <c r="AJ25" s="76">
        <v>1.44</v>
      </c>
      <c r="AP25" s="72">
        <v>24</v>
      </c>
      <c r="AQ25" s="76">
        <v>1.44</v>
      </c>
      <c r="AR25" s="72">
        <f t="shared" si="0"/>
        <v>1.4406000000000001</v>
      </c>
      <c r="AS25" s="72">
        <f t="shared" si="1"/>
        <v>-6.0000000000015596E-4</v>
      </c>
      <c r="AU25" s="74"/>
      <c r="AV25" s="72">
        <v>43</v>
      </c>
      <c r="BN25" s="72">
        <v>1016.8866666666665</v>
      </c>
      <c r="BO25" s="72">
        <v>26.940173913043481</v>
      </c>
      <c r="BP25" s="72">
        <v>27.065000000000001</v>
      </c>
      <c r="BQ25" s="72">
        <v>35.599384615384615</v>
      </c>
      <c r="BR25" s="72">
        <v>35.69792156862745</v>
      </c>
    </row>
    <row r="26" spans="1:70">
      <c r="A26" s="78"/>
      <c r="B26" s="79" t="s">
        <v>142</v>
      </c>
      <c r="C26" s="80" t="s">
        <v>143</v>
      </c>
      <c r="D26" s="93">
        <v>1.35</v>
      </c>
      <c r="E26" s="93">
        <v>0.15</v>
      </c>
      <c r="F26" s="93">
        <f t="shared" si="2"/>
        <v>0.15</v>
      </c>
      <c r="G26" s="72">
        <f t="shared" si="3"/>
        <v>1.2000000000000002</v>
      </c>
      <c r="H26" s="72">
        <f t="shared" si="4"/>
        <v>1.5</v>
      </c>
      <c r="I26" s="72" t="s">
        <v>135</v>
      </c>
      <c r="J26" s="72" t="str">
        <f t="shared" si="5"/>
        <v>4 Peak 1.35 +/-0.15</v>
      </c>
      <c r="K26" s="72" t="str">
        <f t="shared" si="6"/>
        <v>1.35 +/-0.15</v>
      </c>
      <c r="M26" s="72">
        <v>25</v>
      </c>
      <c r="N26" s="81">
        <v>92.691000000000003</v>
      </c>
      <c r="O26" s="75">
        <v>93.003</v>
      </c>
      <c r="P26" s="75">
        <v>1.3</v>
      </c>
      <c r="Q26" s="76">
        <v>1.34</v>
      </c>
      <c r="R26" s="75">
        <v>1.34</v>
      </c>
      <c r="S26" s="75">
        <v>1.36</v>
      </c>
      <c r="T26" s="76">
        <v>0.96</v>
      </c>
      <c r="U26" s="76">
        <v>1.2</v>
      </c>
      <c r="V26" s="75">
        <v>1.37</v>
      </c>
      <c r="W26" s="77">
        <v>1E-3</v>
      </c>
      <c r="X26" s="77"/>
      <c r="Y26" s="75">
        <v>1.22</v>
      </c>
      <c r="Z26" s="76">
        <v>1.21</v>
      </c>
      <c r="AA26" s="76">
        <v>1.25</v>
      </c>
      <c r="AB26" s="75">
        <v>1.1100000000000001</v>
      </c>
      <c r="AC26" s="75">
        <v>1.22</v>
      </c>
      <c r="AD26" s="75">
        <v>1.19</v>
      </c>
      <c r="AE26" s="77"/>
      <c r="AF26" s="77"/>
      <c r="AG26" s="77"/>
      <c r="AH26" s="75">
        <v>1.95</v>
      </c>
      <c r="AI26" s="77"/>
      <c r="AJ26" s="76">
        <v>1.44</v>
      </c>
      <c r="AP26" s="72">
        <v>25</v>
      </c>
      <c r="AQ26" s="76">
        <v>1.44</v>
      </c>
      <c r="AR26" s="72">
        <f t="shared" si="0"/>
        <v>1.4406000000000001</v>
      </c>
      <c r="AS26" s="72">
        <f t="shared" si="1"/>
        <v>-6.0000000000015596E-4</v>
      </c>
      <c r="AU26" s="74"/>
      <c r="AV26" s="72">
        <v>44</v>
      </c>
      <c r="BN26" s="72">
        <v>1014.2101960784312</v>
      </c>
      <c r="BO26" s="72">
        <v>26.882347826086953</v>
      </c>
      <c r="BP26" s="72">
        <v>27.036999999999999</v>
      </c>
      <c r="BQ26" s="72">
        <v>35.565153846153848</v>
      </c>
      <c r="BR26" s="72">
        <v>35.677137254901957</v>
      </c>
    </row>
    <row r="27" spans="1:70">
      <c r="A27" s="78"/>
      <c r="B27" s="79" t="s">
        <v>144</v>
      </c>
      <c r="C27" s="80" t="s">
        <v>145</v>
      </c>
      <c r="D27" s="93">
        <v>1.02</v>
      </c>
      <c r="E27" s="93">
        <v>0.15</v>
      </c>
      <c r="F27" s="93">
        <f t="shared" si="2"/>
        <v>0.15</v>
      </c>
      <c r="G27" s="72">
        <f t="shared" si="3"/>
        <v>0.87</v>
      </c>
      <c r="H27" s="72">
        <f t="shared" si="4"/>
        <v>1.17</v>
      </c>
      <c r="I27" s="72" t="s">
        <v>135</v>
      </c>
      <c r="J27" s="72" t="str">
        <f t="shared" si="5"/>
        <v>5 Peak 1.02 +/-0.15</v>
      </c>
      <c r="K27" s="72" t="str">
        <f t="shared" si="6"/>
        <v>1.02 +/-0.15</v>
      </c>
      <c r="M27" s="72">
        <v>26</v>
      </c>
      <c r="N27" s="75">
        <v>93.091999999999999</v>
      </c>
      <c r="O27" s="76">
        <v>93.091999999999999</v>
      </c>
      <c r="P27" s="76">
        <v>1.25</v>
      </c>
      <c r="Q27" s="76">
        <v>1.31</v>
      </c>
      <c r="R27" s="76">
        <v>1.3</v>
      </c>
      <c r="S27" s="76">
        <v>1.3</v>
      </c>
      <c r="T27" s="76">
        <v>0.98</v>
      </c>
      <c r="U27" s="75">
        <v>1.22</v>
      </c>
      <c r="V27" s="76">
        <v>1.3</v>
      </c>
      <c r="W27" s="77">
        <v>2E-3</v>
      </c>
      <c r="X27" s="77"/>
      <c r="Y27" s="76">
        <v>1.18</v>
      </c>
      <c r="Z27" s="75">
        <v>1.23</v>
      </c>
      <c r="AA27" s="75">
        <v>1.3</v>
      </c>
      <c r="AB27" s="75">
        <v>1.1499999999999999</v>
      </c>
      <c r="AC27" s="75">
        <v>1.24</v>
      </c>
      <c r="AD27" s="75">
        <v>1.18</v>
      </c>
      <c r="AE27" s="77"/>
      <c r="AF27" s="77"/>
      <c r="AG27" s="77"/>
      <c r="AH27" s="75">
        <v>1.95</v>
      </c>
      <c r="AI27" s="77"/>
      <c r="AJ27" s="75">
        <v>1.47</v>
      </c>
      <c r="AP27" s="72">
        <v>26</v>
      </c>
      <c r="AQ27" s="75">
        <v>1.47</v>
      </c>
      <c r="AR27" s="72">
        <f t="shared" si="0"/>
        <v>1.4406000000000001</v>
      </c>
      <c r="AS27" s="72">
        <f t="shared" si="1"/>
        <v>2.9399999999999871E-2</v>
      </c>
      <c r="AU27" s="74"/>
      <c r="AV27" s="72">
        <v>45</v>
      </c>
      <c r="BN27" s="72">
        <v>1015.9807843137257</v>
      </c>
      <c r="BO27" s="72">
        <v>27.0375652173913</v>
      </c>
      <c r="BP27" s="72">
        <v>27.041499999999999</v>
      </c>
      <c r="BQ27" s="72">
        <v>35.556307692307691</v>
      </c>
      <c r="BR27" s="72">
        <v>35.69792156862745</v>
      </c>
    </row>
    <row r="28" spans="1:70">
      <c r="A28" s="78"/>
      <c r="B28" s="79" t="s">
        <v>146</v>
      </c>
      <c r="C28" s="80" t="s">
        <v>147</v>
      </c>
      <c r="D28" s="93">
        <v>1.21</v>
      </c>
      <c r="E28" s="93">
        <v>0.15</v>
      </c>
      <c r="F28" s="93">
        <f t="shared" si="2"/>
        <v>0.15</v>
      </c>
      <c r="G28" s="72">
        <f t="shared" si="3"/>
        <v>1.06</v>
      </c>
      <c r="H28" s="72">
        <f t="shared" si="4"/>
        <v>1.3599999999999999</v>
      </c>
      <c r="I28" s="72" t="s">
        <v>135</v>
      </c>
      <c r="J28" s="72" t="str">
        <f t="shared" si="5"/>
        <v>6 Peak 1.21 +/-0.15</v>
      </c>
      <c r="K28" s="72" t="str">
        <f t="shared" si="6"/>
        <v>1.21 +/-0.15</v>
      </c>
      <c r="M28" s="72">
        <v>27</v>
      </c>
      <c r="N28" s="81">
        <v>92.915000000000006</v>
      </c>
      <c r="O28" s="75">
        <v>92.915000000000006</v>
      </c>
      <c r="P28" s="76">
        <v>1.28</v>
      </c>
      <c r="Q28" s="75">
        <v>1.36</v>
      </c>
      <c r="R28" s="76">
        <v>1.27</v>
      </c>
      <c r="S28" s="75">
        <v>1.37</v>
      </c>
      <c r="T28" s="75">
        <v>1.04</v>
      </c>
      <c r="U28" s="76">
        <v>1.18</v>
      </c>
      <c r="V28" s="75">
        <v>1.35</v>
      </c>
      <c r="W28" s="77">
        <v>5.0000000000000001E-3</v>
      </c>
      <c r="X28" s="77"/>
      <c r="Y28" s="75">
        <v>1.22</v>
      </c>
      <c r="Z28" s="76">
        <v>1.18</v>
      </c>
      <c r="AA28" s="76">
        <v>1.27</v>
      </c>
      <c r="AB28" s="75">
        <v>1.1100000000000001</v>
      </c>
      <c r="AC28" s="75">
        <v>1.23</v>
      </c>
      <c r="AD28" s="75">
        <v>1.17</v>
      </c>
      <c r="AE28" s="77"/>
      <c r="AF28" s="77"/>
      <c r="AG28" s="77"/>
      <c r="AH28" s="75">
        <v>1.98</v>
      </c>
      <c r="AI28" s="77"/>
      <c r="AJ28" s="75">
        <v>1.47</v>
      </c>
      <c r="AP28" s="72">
        <v>27</v>
      </c>
      <c r="AQ28" s="75">
        <v>1.47</v>
      </c>
      <c r="AR28" s="72">
        <f t="shared" si="0"/>
        <v>1.4406000000000001</v>
      </c>
      <c r="AS28" s="72">
        <f t="shared" si="1"/>
        <v>2.9399999999999871E-2</v>
      </c>
      <c r="AU28" s="74"/>
      <c r="AV28" s="72">
        <v>46</v>
      </c>
      <c r="BN28" s="72">
        <v>1018.5199999999999</v>
      </c>
      <c r="BO28" s="72">
        <v>26.949739130434779</v>
      </c>
      <c r="BP28" s="72">
        <v>27.03275</v>
      </c>
      <c r="BQ28" s="72">
        <v>35.635538461538459</v>
      </c>
      <c r="BR28" s="72">
        <v>35.702039215686277</v>
      </c>
    </row>
    <row r="29" spans="1:70">
      <c r="A29" s="78"/>
      <c r="B29" s="79" t="s">
        <v>148</v>
      </c>
      <c r="C29" s="80" t="s">
        <v>149</v>
      </c>
      <c r="D29" s="93">
        <v>1.37</v>
      </c>
      <c r="E29" s="93">
        <v>0.2</v>
      </c>
      <c r="F29" s="93">
        <f t="shared" si="2"/>
        <v>0.2</v>
      </c>
      <c r="G29" s="72">
        <f t="shared" si="3"/>
        <v>1.1700000000000002</v>
      </c>
      <c r="H29" s="72">
        <f t="shared" si="4"/>
        <v>1.57</v>
      </c>
      <c r="I29" s="72" t="s">
        <v>135</v>
      </c>
      <c r="J29" s="72" t="str">
        <f t="shared" si="5"/>
        <v>7 Peak 1.37+/-0.20</v>
      </c>
      <c r="K29" s="72" t="str">
        <f t="shared" si="6"/>
        <v>1.37 +/-0.2</v>
      </c>
      <c r="M29" s="72">
        <v>28</v>
      </c>
      <c r="N29" s="75">
        <v>93.134</v>
      </c>
      <c r="O29" s="75">
        <v>93.134</v>
      </c>
      <c r="P29" s="76">
        <v>1.27</v>
      </c>
      <c r="Q29" s="75">
        <v>1.39</v>
      </c>
      <c r="R29" s="76">
        <v>1.3</v>
      </c>
      <c r="S29" s="75">
        <v>1.34</v>
      </c>
      <c r="T29" s="76">
        <v>0.99</v>
      </c>
      <c r="U29" s="75">
        <v>1.23</v>
      </c>
      <c r="V29" s="76">
        <v>1.31</v>
      </c>
      <c r="W29" s="77">
        <v>4.0000000000000001E-3</v>
      </c>
      <c r="X29" s="77"/>
      <c r="Y29" s="75">
        <v>1.21</v>
      </c>
      <c r="Z29" s="75">
        <v>1.24</v>
      </c>
      <c r="AA29" s="75">
        <v>1.29</v>
      </c>
      <c r="AB29" s="75">
        <v>1.1299999999999999</v>
      </c>
      <c r="AC29" s="75">
        <v>1.2</v>
      </c>
      <c r="AD29" s="75">
        <v>1.21</v>
      </c>
      <c r="AE29" s="77"/>
      <c r="AF29" s="77"/>
      <c r="AG29" s="77"/>
      <c r="AH29" s="75">
        <v>1.96</v>
      </c>
      <c r="AI29" s="77"/>
      <c r="AJ29" s="76">
        <v>1.43</v>
      </c>
      <c r="AP29" s="72">
        <v>28</v>
      </c>
      <c r="AQ29" s="76">
        <v>1.43</v>
      </c>
      <c r="AR29" s="72">
        <f t="shared" si="0"/>
        <v>1.4406000000000001</v>
      </c>
      <c r="AS29" s="72">
        <f t="shared" si="1"/>
        <v>-1.0600000000000165E-2</v>
      </c>
      <c r="AU29" s="74"/>
      <c r="AV29" s="72">
        <v>47</v>
      </c>
      <c r="BN29" s="72">
        <v>1017.6552941176473</v>
      </c>
      <c r="BO29" s="72">
        <v>27.063652173913045</v>
      </c>
      <c r="BP29" s="72">
        <v>27.027000000000001</v>
      </c>
      <c r="BQ29" s="72">
        <v>35.518230769230769</v>
      </c>
      <c r="BR29" s="72">
        <v>35.688705882352942</v>
      </c>
    </row>
    <row r="30" spans="1:70">
      <c r="A30" s="78"/>
      <c r="B30" s="79" t="s">
        <v>150</v>
      </c>
      <c r="C30" s="80"/>
      <c r="D30" s="93"/>
      <c r="E30" s="93"/>
      <c r="F30" s="93">
        <f t="shared" si="2"/>
        <v>0</v>
      </c>
      <c r="G30" s="72">
        <f t="shared" si="3"/>
        <v>0</v>
      </c>
      <c r="H30" s="72">
        <f t="shared" si="4"/>
        <v>0</v>
      </c>
      <c r="I30" s="72" t="s">
        <v>135</v>
      </c>
      <c r="J30" s="72">
        <f t="shared" si="5"/>
        <v>0</v>
      </c>
      <c r="K30" s="72" t="str">
        <f t="shared" si="6"/>
        <v xml:space="preserve"> +/-</v>
      </c>
      <c r="M30" s="72">
        <v>29</v>
      </c>
      <c r="N30" s="81">
        <v>92.93</v>
      </c>
      <c r="O30" s="76">
        <v>92.93</v>
      </c>
      <c r="P30" s="75">
        <v>1.32</v>
      </c>
      <c r="Q30" s="76">
        <v>1.32</v>
      </c>
      <c r="R30" s="75">
        <v>1.34</v>
      </c>
      <c r="S30" s="76">
        <v>1.31</v>
      </c>
      <c r="T30" s="76">
        <v>0.99</v>
      </c>
      <c r="U30" s="76">
        <v>1.21</v>
      </c>
      <c r="V30" s="75">
        <v>1.39</v>
      </c>
      <c r="W30" s="77">
        <v>1E-3</v>
      </c>
      <c r="X30" s="77"/>
      <c r="Y30" s="76">
        <v>1.18</v>
      </c>
      <c r="Z30" s="76">
        <v>1.22</v>
      </c>
      <c r="AA30" s="76">
        <v>1.26</v>
      </c>
      <c r="AB30" s="75">
        <v>1.17</v>
      </c>
      <c r="AC30" s="75">
        <v>1.25</v>
      </c>
      <c r="AD30" s="75">
        <v>1.1599999999999999</v>
      </c>
      <c r="AE30" s="77"/>
      <c r="AF30" s="77"/>
      <c r="AG30" s="77"/>
      <c r="AH30" s="75">
        <v>1.95</v>
      </c>
      <c r="AI30" s="77"/>
      <c r="AJ30" s="76">
        <v>1.44</v>
      </c>
      <c r="AP30" s="72">
        <v>29</v>
      </c>
      <c r="AQ30" s="76">
        <v>1.44</v>
      </c>
      <c r="AR30" s="72">
        <f t="shared" si="0"/>
        <v>1.4406000000000001</v>
      </c>
      <c r="AS30" s="72">
        <f t="shared" si="1"/>
        <v>-6.0000000000015596E-4</v>
      </c>
      <c r="AU30" s="74"/>
      <c r="AV30" s="72">
        <v>48</v>
      </c>
      <c r="BN30" s="72">
        <v>1016.4611764705885</v>
      </c>
      <c r="BO30" s="72">
        <v>26.952347826086953</v>
      </c>
      <c r="BP30" s="72">
        <v>27.044499999999999</v>
      </c>
      <c r="BQ30" s="72">
        <v>35.560153846153845</v>
      </c>
      <c r="BR30" s="72">
        <v>35.667137254901959</v>
      </c>
    </row>
    <row r="31" spans="1:70">
      <c r="A31" s="78"/>
      <c r="B31" s="79" t="s">
        <v>151</v>
      </c>
      <c r="C31" s="80"/>
      <c r="D31" s="93"/>
      <c r="E31" s="93"/>
      <c r="F31" s="93"/>
      <c r="G31" s="72">
        <f t="shared" si="3"/>
        <v>0</v>
      </c>
      <c r="H31" s="72">
        <f t="shared" si="4"/>
        <v>0</v>
      </c>
      <c r="I31" s="72" t="s">
        <v>135</v>
      </c>
      <c r="J31" s="72">
        <f t="shared" si="5"/>
        <v>0</v>
      </c>
      <c r="K31" s="72" t="str">
        <f t="shared" si="6"/>
        <v xml:space="preserve"> +/-</v>
      </c>
      <c r="M31" s="72">
        <v>30</v>
      </c>
      <c r="N31" s="75">
        <v>93.042000000000002</v>
      </c>
      <c r="O31" s="75">
        <v>93.042000000000002</v>
      </c>
      <c r="P31" s="76">
        <v>1.27</v>
      </c>
      <c r="Q31" s="75">
        <v>1.36</v>
      </c>
      <c r="R31" s="75">
        <v>1.34</v>
      </c>
      <c r="S31" s="75">
        <v>1.34</v>
      </c>
      <c r="T31" s="75">
        <v>1.04</v>
      </c>
      <c r="U31" s="75">
        <v>1.26</v>
      </c>
      <c r="V31" s="75">
        <v>1.35</v>
      </c>
      <c r="W31" s="77">
        <v>2E-3</v>
      </c>
      <c r="X31" s="77"/>
      <c r="Y31" s="75">
        <v>1.2</v>
      </c>
      <c r="Z31" s="75">
        <v>1.23</v>
      </c>
      <c r="AA31" s="75">
        <v>1.3</v>
      </c>
      <c r="AB31" s="75">
        <v>1.1200000000000001</v>
      </c>
      <c r="AC31" s="75">
        <v>1.2</v>
      </c>
      <c r="AD31" s="75">
        <v>1.22</v>
      </c>
      <c r="AE31" s="77"/>
      <c r="AF31" s="77"/>
      <c r="AG31" s="77"/>
      <c r="AH31" s="75">
        <v>1.96</v>
      </c>
      <c r="AI31" s="77"/>
      <c r="AJ31" s="76">
        <v>1.44</v>
      </c>
      <c r="AP31" s="72">
        <v>30</v>
      </c>
      <c r="AQ31" s="76">
        <v>1.44</v>
      </c>
      <c r="AR31" s="72">
        <f t="shared" si="0"/>
        <v>1.4406000000000001</v>
      </c>
      <c r="AS31" s="72">
        <f t="shared" si="1"/>
        <v>-6.0000000000015596E-4</v>
      </c>
      <c r="AU31" s="74"/>
      <c r="AV31" s="72">
        <v>49</v>
      </c>
      <c r="BN31" s="72">
        <v>1013.3866666666668</v>
      </c>
      <c r="BO31" s="72">
        <v>26.97147826086956</v>
      </c>
      <c r="BP31" s="72">
        <v>27.037749999999999</v>
      </c>
      <c r="BQ31" s="72">
        <v>35.561307692307693</v>
      </c>
      <c r="BR31" s="72">
        <v>35.664588235294119</v>
      </c>
    </row>
    <row r="32" spans="1:70">
      <c r="A32" s="78"/>
      <c r="B32" s="79" t="s">
        <v>152</v>
      </c>
      <c r="C32" s="80" t="s">
        <v>153</v>
      </c>
      <c r="D32" s="93">
        <v>1.1499999999999999</v>
      </c>
      <c r="E32" s="93">
        <v>0.15</v>
      </c>
      <c r="F32" s="93">
        <f t="shared" si="2"/>
        <v>0.15</v>
      </c>
      <c r="G32" s="72">
        <f t="shared" si="3"/>
        <v>0.99999999999999989</v>
      </c>
      <c r="H32" s="72">
        <f t="shared" si="4"/>
        <v>1.2999999999999998</v>
      </c>
      <c r="I32" s="72" t="s">
        <v>135</v>
      </c>
      <c r="J32" s="72" t="str">
        <f t="shared" si="5"/>
        <v>1 Root 1.22 +/-0.15</v>
      </c>
      <c r="K32" s="72" t="str">
        <f t="shared" si="6"/>
        <v>1.15 +/-0.15</v>
      </c>
      <c r="M32" s="72">
        <v>31</v>
      </c>
      <c r="O32" s="77">
        <v>93.058999999999997</v>
      </c>
      <c r="P32" s="75">
        <v>1.33</v>
      </c>
      <c r="Q32" s="76">
        <v>1.32</v>
      </c>
      <c r="R32" s="76">
        <v>1.28</v>
      </c>
      <c r="S32" s="76">
        <v>1.31</v>
      </c>
      <c r="T32" s="76">
        <v>0.96</v>
      </c>
      <c r="U32" s="76">
        <v>1.18</v>
      </c>
      <c r="V32" s="76">
        <v>1.3</v>
      </c>
      <c r="W32" s="77">
        <v>8.9999999999999993E-3</v>
      </c>
      <c r="X32" s="77"/>
      <c r="Y32" s="76">
        <v>1.1599999999999999</v>
      </c>
      <c r="Z32" s="75">
        <v>1.25</v>
      </c>
      <c r="AA32" s="76">
        <v>1.24</v>
      </c>
      <c r="AB32" s="75">
        <v>1.17</v>
      </c>
      <c r="AC32" s="75">
        <v>1.19</v>
      </c>
      <c r="AD32" s="75">
        <v>1.1200000000000001</v>
      </c>
      <c r="AE32" s="77"/>
      <c r="AF32" s="77"/>
      <c r="AG32" s="77"/>
      <c r="AH32" s="75">
        <v>1.95</v>
      </c>
      <c r="AI32" s="77"/>
      <c r="AJ32" s="76">
        <v>1.45</v>
      </c>
      <c r="AP32" s="72">
        <v>31</v>
      </c>
      <c r="AQ32" s="76">
        <v>1.42</v>
      </c>
      <c r="AR32" s="72">
        <f t="shared" si="0"/>
        <v>1.4406000000000001</v>
      </c>
      <c r="AS32" s="72">
        <f t="shared" si="1"/>
        <v>-2.0600000000000174E-2</v>
      </c>
      <c r="AU32" s="74"/>
      <c r="AV32" s="72">
        <v>50</v>
      </c>
      <c r="BN32" s="72">
        <v>1017.2847058823529</v>
      </c>
      <c r="BO32" s="72">
        <v>26.966260869565215</v>
      </c>
      <c r="BP32" s="72">
        <v>27.036249999999999</v>
      </c>
      <c r="BQ32" s="72">
        <v>35.608615384615383</v>
      </c>
      <c r="BR32" s="72">
        <v>35.678901960784309</v>
      </c>
    </row>
    <row r="33" spans="1:70">
      <c r="A33" s="78"/>
      <c r="B33" s="79" t="s">
        <v>154</v>
      </c>
      <c r="C33" s="80" t="s">
        <v>155</v>
      </c>
      <c r="D33" s="93">
        <v>1.24</v>
      </c>
      <c r="E33" s="93">
        <v>0.15</v>
      </c>
      <c r="F33" s="93">
        <f t="shared" si="2"/>
        <v>0.15</v>
      </c>
      <c r="G33" s="72">
        <f t="shared" si="3"/>
        <v>1.0900000000000001</v>
      </c>
      <c r="H33" s="72">
        <f t="shared" si="4"/>
        <v>1.39</v>
      </c>
      <c r="I33" s="72" t="s">
        <v>135</v>
      </c>
      <c r="J33" s="72" t="str">
        <f t="shared" si="5"/>
        <v>2 Root 1.24 +/-0.15</v>
      </c>
      <c r="K33" s="72" t="str">
        <f t="shared" si="6"/>
        <v>1.24 +/-0.15</v>
      </c>
      <c r="M33" s="72">
        <v>32</v>
      </c>
      <c r="O33" s="77">
        <v>93.031000000000006</v>
      </c>
      <c r="P33" s="76">
        <v>1.27</v>
      </c>
      <c r="Q33" s="76">
        <v>1.35</v>
      </c>
      <c r="R33" s="75">
        <v>1.32</v>
      </c>
      <c r="S33" s="75">
        <v>1.36</v>
      </c>
      <c r="T33" s="76">
        <v>0.98</v>
      </c>
      <c r="U33" s="76">
        <v>1.19</v>
      </c>
      <c r="V33" s="76">
        <v>1.28</v>
      </c>
      <c r="W33" s="77">
        <v>1E-3</v>
      </c>
      <c r="X33" s="77"/>
      <c r="Y33" s="75">
        <v>1.23</v>
      </c>
      <c r="Z33" s="76">
        <v>1.22</v>
      </c>
      <c r="AA33" s="76">
        <v>1.27</v>
      </c>
      <c r="AB33" s="75">
        <v>1.1200000000000001</v>
      </c>
      <c r="AC33" s="75">
        <v>1.19</v>
      </c>
      <c r="AD33" s="75">
        <v>1.1499999999999999</v>
      </c>
      <c r="AE33" s="77"/>
      <c r="AF33" s="77"/>
      <c r="AG33" s="77"/>
      <c r="AH33" s="75">
        <v>1.95</v>
      </c>
      <c r="AI33" s="77"/>
      <c r="AJ33" s="75">
        <v>1.48</v>
      </c>
      <c r="AP33" s="72">
        <v>32</v>
      </c>
      <c r="AQ33" s="75">
        <v>1.48</v>
      </c>
      <c r="AR33" s="72">
        <f t="shared" si="0"/>
        <v>1.4406000000000001</v>
      </c>
      <c r="AS33" s="72">
        <f t="shared" si="1"/>
        <v>3.939999999999988E-2</v>
      </c>
      <c r="AU33" s="74"/>
      <c r="AV33" s="72">
        <v>51</v>
      </c>
      <c r="BN33" s="72">
        <v>1019.1101960784317</v>
      </c>
      <c r="BO33" s="72">
        <v>26.919304347826088</v>
      </c>
      <c r="BP33" s="72">
        <v>27.036750000000001</v>
      </c>
      <c r="BQ33" s="72">
        <v>35.560923076923075</v>
      </c>
      <c r="BR33" s="72">
        <v>35.69027450980392</v>
      </c>
    </row>
    <row r="34" spans="1:70">
      <c r="A34" s="78"/>
      <c r="B34" s="79" t="s">
        <v>156</v>
      </c>
      <c r="C34" s="80" t="s">
        <v>157</v>
      </c>
      <c r="D34" s="93">
        <v>1.3</v>
      </c>
      <c r="E34" s="93">
        <v>0.15</v>
      </c>
      <c r="F34" s="93">
        <f t="shared" si="2"/>
        <v>0.15</v>
      </c>
      <c r="G34" s="72">
        <f t="shared" si="3"/>
        <v>1.1500000000000001</v>
      </c>
      <c r="H34" s="72">
        <f t="shared" si="4"/>
        <v>1.45</v>
      </c>
      <c r="I34" s="72" t="s">
        <v>135</v>
      </c>
      <c r="J34" s="72" t="str">
        <f t="shared" si="5"/>
        <v>3 Root 1.3 +/-0.15</v>
      </c>
      <c r="K34" s="72" t="str">
        <f t="shared" si="6"/>
        <v>1.3 +/-0.15</v>
      </c>
      <c r="M34" s="72">
        <v>33</v>
      </c>
      <c r="O34" s="77">
        <v>93.179000000000002</v>
      </c>
      <c r="P34" s="75">
        <v>1.29</v>
      </c>
      <c r="Q34" s="75">
        <v>1.36</v>
      </c>
      <c r="R34" s="75">
        <v>1.32</v>
      </c>
      <c r="S34" s="76">
        <v>1.33</v>
      </c>
      <c r="T34" s="76">
        <v>0.99</v>
      </c>
      <c r="U34" s="75">
        <v>1.22</v>
      </c>
      <c r="V34" s="75">
        <v>1.36</v>
      </c>
      <c r="W34" s="77">
        <v>8.9999999999999993E-3</v>
      </c>
      <c r="X34" s="77"/>
      <c r="Y34" s="76">
        <v>1.19</v>
      </c>
      <c r="Z34" s="75">
        <v>1.25</v>
      </c>
      <c r="AA34" s="75">
        <v>1.28</v>
      </c>
      <c r="AB34" s="75">
        <v>1.1499999999999999</v>
      </c>
      <c r="AC34" s="75">
        <v>1.2</v>
      </c>
      <c r="AD34" s="75">
        <v>1.21</v>
      </c>
      <c r="AE34" s="77"/>
      <c r="AF34" s="77"/>
      <c r="AG34" s="77"/>
      <c r="AH34" s="75">
        <v>1.94</v>
      </c>
      <c r="AI34" s="77"/>
      <c r="AJ34" s="76">
        <v>1.43</v>
      </c>
      <c r="AP34" s="72">
        <v>33</v>
      </c>
      <c r="AQ34" s="76">
        <v>1.43</v>
      </c>
      <c r="AR34" s="72">
        <f t="shared" si="0"/>
        <v>1.4406000000000001</v>
      </c>
      <c r="AS34" s="72">
        <f t="shared" si="1"/>
        <v>-1.0600000000000165E-2</v>
      </c>
      <c r="AU34" s="74"/>
      <c r="AV34" s="72">
        <v>52</v>
      </c>
      <c r="BN34" s="72">
        <v>1014.2101960784317</v>
      </c>
      <c r="BO34" s="72">
        <v>26.941478260869566</v>
      </c>
      <c r="BP34" s="72">
        <v>27.073</v>
      </c>
      <c r="BQ34" s="72">
        <v>35.569769230769232</v>
      </c>
      <c r="BR34" s="72">
        <v>35.713803921568626</v>
      </c>
    </row>
    <row r="35" spans="1:70">
      <c r="A35" s="78"/>
      <c r="B35" s="79" t="s">
        <v>158</v>
      </c>
      <c r="C35" s="80" t="s">
        <v>159</v>
      </c>
      <c r="D35" s="93">
        <v>1.1399999999999999</v>
      </c>
      <c r="E35" s="93">
        <v>0.15</v>
      </c>
      <c r="F35" s="93">
        <f t="shared" si="2"/>
        <v>0.15</v>
      </c>
      <c r="G35" s="72">
        <f t="shared" si="3"/>
        <v>0.98999999999999988</v>
      </c>
      <c r="H35" s="72">
        <f t="shared" si="4"/>
        <v>1.2899999999999998</v>
      </c>
      <c r="I35" s="72" t="s">
        <v>135</v>
      </c>
      <c r="J35" s="72" t="str">
        <f t="shared" si="5"/>
        <v>4 Root 1.14 +/-0.15</v>
      </c>
      <c r="K35" s="72" t="str">
        <f t="shared" si="6"/>
        <v>1.14 +/-0.15</v>
      </c>
      <c r="M35" s="72">
        <v>34</v>
      </c>
      <c r="O35" s="77">
        <v>93.206000000000003</v>
      </c>
      <c r="P35" s="75">
        <v>1.3</v>
      </c>
      <c r="Q35" s="76">
        <v>1.33</v>
      </c>
      <c r="R35" s="76">
        <v>1.26</v>
      </c>
      <c r="S35" s="75">
        <v>1.34</v>
      </c>
      <c r="T35" s="75">
        <v>1</v>
      </c>
      <c r="U35" s="76">
        <v>1.18</v>
      </c>
      <c r="V35" s="75">
        <v>1.38</v>
      </c>
      <c r="W35" s="77">
        <v>6.0000000000000001E-3</v>
      </c>
      <c r="X35" s="77"/>
      <c r="Y35" s="76">
        <v>1.17</v>
      </c>
      <c r="Z35" s="76">
        <v>1.22</v>
      </c>
      <c r="AA35" s="76">
        <v>1.27</v>
      </c>
      <c r="AB35" s="75">
        <v>1.18</v>
      </c>
      <c r="AC35" s="75">
        <v>1.19</v>
      </c>
      <c r="AD35" s="75">
        <v>1.1299999999999999</v>
      </c>
      <c r="AE35" s="77"/>
      <c r="AF35" s="77"/>
      <c r="AG35" s="77"/>
      <c r="AH35" s="75">
        <v>1.98</v>
      </c>
      <c r="AI35" s="77"/>
      <c r="AJ35" s="75">
        <v>1.45</v>
      </c>
      <c r="AP35" s="72">
        <v>34</v>
      </c>
      <c r="AQ35" s="75">
        <v>1.45</v>
      </c>
      <c r="AR35" s="72">
        <f t="shared" si="0"/>
        <v>1.4406000000000001</v>
      </c>
      <c r="AS35" s="72">
        <f t="shared" si="1"/>
        <v>9.3999999999998529E-3</v>
      </c>
      <c r="AU35" s="74"/>
      <c r="AV35" s="72">
        <v>53</v>
      </c>
      <c r="BN35" s="72">
        <v>1016.9827450980395</v>
      </c>
      <c r="BO35" s="72">
        <v>27.063652173913045</v>
      </c>
      <c r="BP35" s="72">
        <v>27.064</v>
      </c>
      <c r="BQ35" s="72">
        <v>35.580153846153841</v>
      </c>
      <c r="BR35" s="72">
        <v>35.676941176470585</v>
      </c>
    </row>
    <row r="36" spans="1:70">
      <c r="A36" s="78"/>
      <c r="B36" s="79" t="s">
        <v>160</v>
      </c>
      <c r="C36" s="80" t="s">
        <v>161</v>
      </c>
      <c r="D36" s="93">
        <v>1.19</v>
      </c>
      <c r="E36" s="93">
        <v>0.15</v>
      </c>
      <c r="F36" s="93">
        <f t="shared" si="2"/>
        <v>0.15</v>
      </c>
      <c r="G36" s="72">
        <f t="shared" si="3"/>
        <v>1.04</v>
      </c>
      <c r="H36" s="72">
        <f t="shared" si="4"/>
        <v>1.3399999999999999</v>
      </c>
      <c r="I36" s="72" t="s">
        <v>135</v>
      </c>
      <c r="J36" s="72" t="str">
        <f t="shared" si="5"/>
        <v>5 Root 1.19 +/-0.15</v>
      </c>
      <c r="K36" s="72" t="str">
        <f t="shared" si="6"/>
        <v>1.19 +/-0.15</v>
      </c>
      <c r="M36" s="72">
        <v>35</v>
      </c>
      <c r="O36" s="77">
        <v>93.027999999999992</v>
      </c>
      <c r="P36" s="76">
        <v>1.29</v>
      </c>
      <c r="Q36" s="75">
        <v>1.36</v>
      </c>
      <c r="R36" s="76">
        <v>1.3</v>
      </c>
      <c r="S36" s="76">
        <v>1.29</v>
      </c>
      <c r="T36" s="76">
        <v>0.99</v>
      </c>
      <c r="U36" s="75">
        <v>1.26</v>
      </c>
      <c r="V36" s="76">
        <v>1.3</v>
      </c>
      <c r="W36" s="77">
        <v>8.0000000000000002E-3</v>
      </c>
      <c r="X36" s="77"/>
      <c r="Y36" s="75">
        <v>1.23</v>
      </c>
      <c r="Z36" s="75">
        <v>1.24</v>
      </c>
      <c r="AA36" s="75">
        <v>1.32</v>
      </c>
      <c r="AB36" s="75">
        <v>1.1299999999999999</v>
      </c>
      <c r="AC36" s="75">
        <v>1.21</v>
      </c>
      <c r="AD36" s="75">
        <v>1.1599999999999999</v>
      </c>
      <c r="AE36" s="77"/>
      <c r="AF36" s="77"/>
      <c r="AG36" s="77"/>
      <c r="AH36" s="75">
        <v>1.96</v>
      </c>
      <c r="AI36" s="77"/>
      <c r="AJ36" s="76">
        <v>1.44</v>
      </c>
      <c r="AP36" s="72">
        <v>35</v>
      </c>
      <c r="AQ36" s="76">
        <v>1.44</v>
      </c>
      <c r="AR36" s="72">
        <f t="shared" si="0"/>
        <v>1.4406000000000001</v>
      </c>
      <c r="AS36" s="72">
        <f t="shared" si="1"/>
        <v>-6.0000000000015596E-4</v>
      </c>
      <c r="AU36" s="74"/>
      <c r="AV36" s="72">
        <v>54</v>
      </c>
      <c r="BN36" s="72">
        <v>1013.3866666666668</v>
      </c>
      <c r="BO36" s="72">
        <v>26.960173913043477</v>
      </c>
      <c r="BP36" s="72">
        <v>27.030999999999999</v>
      </c>
      <c r="BQ36" s="72">
        <v>35.537846153846154</v>
      </c>
      <c r="BR36" s="72">
        <v>35.686549019607838</v>
      </c>
    </row>
    <row r="37" spans="1:70">
      <c r="A37" s="78"/>
      <c r="B37" s="79" t="s">
        <v>162</v>
      </c>
      <c r="C37" s="80" t="s">
        <v>163</v>
      </c>
      <c r="D37" s="93">
        <v>1.2</v>
      </c>
      <c r="E37" s="93">
        <v>0.2</v>
      </c>
      <c r="F37" s="93">
        <f t="shared" si="2"/>
        <v>0.2</v>
      </c>
      <c r="G37" s="72">
        <f t="shared" si="3"/>
        <v>1</v>
      </c>
      <c r="H37" s="72">
        <f t="shared" si="4"/>
        <v>1.4</v>
      </c>
      <c r="I37" s="72" t="s">
        <v>135</v>
      </c>
      <c r="J37" s="72" t="str">
        <f t="shared" si="5"/>
        <v>6 Root 1.20+/-0.20</v>
      </c>
      <c r="K37" s="72" t="str">
        <f t="shared" si="6"/>
        <v>1.2 +/-0.2</v>
      </c>
      <c r="M37" s="72">
        <v>36</v>
      </c>
      <c r="O37" s="77">
        <v>93.204000000000008</v>
      </c>
      <c r="P37" s="75">
        <v>1.31</v>
      </c>
      <c r="Q37" s="76">
        <v>1.31</v>
      </c>
      <c r="R37" s="76">
        <v>1.3</v>
      </c>
      <c r="S37" s="75">
        <v>1.34</v>
      </c>
      <c r="T37" s="76">
        <v>0.99</v>
      </c>
      <c r="U37" s="76">
        <v>1.17</v>
      </c>
      <c r="V37" s="75">
        <v>1.34</v>
      </c>
      <c r="W37" s="77">
        <v>4.0000000000000001E-3</v>
      </c>
      <c r="X37" s="77"/>
      <c r="Y37" s="75">
        <v>1.21</v>
      </c>
      <c r="Z37" s="76">
        <v>1.22</v>
      </c>
      <c r="AA37" s="76">
        <v>1.27</v>
      </c>
      <c r="AB37" s="75">
        <v>1.17</v>
      </c>
      <c r="AC37" s="75">
        <v>1.25</v>
      </c>
      <c r="AD37" s="75">
        <v>1.19</v>
      </c>
      <c r="AE37" s="77"/>
      <c r="AF37" s="77"/>
      <c r="AG37" s="77"/>
      <c r="AH37" s="75">
        <v>1.95</v>
      </c>
      <c r="AI37" s="77"/>
      <c r="AJ37" s="76">
        <v>1.44</v>
      </c>
      <c r="AP37" s="72">
        <v>36</v>
      </c>
      <c r="AQ37" s="76">
        <v>1.44</v>
      </c>
      <c r="AR37" s="72">
        <f t="shared" si="0"/>
        <v>1.4406000000000001</v>
      </c>
      <c r="AS37" s="72">
        <f t="shared" si="1"/>
        <v>-6.0000000000015596E-4</v>
      </c>
      <c r="AU37" s="74"/>
      <c r="AV37" s="72">
        <v>55</v>
      </c>
      <c r="BN37" s="72">
        <v>1021.6219607843138</v>
      </c>
      <c r="BO37" s="72">
        <v>26.93278260869565</v>
      </c>
      <c r="BP37" s="72">
        <v>27.02</v>
      </c>
      <c r="BQ37" s="72">
        <v>35.532846153846151</v>
      </c>
      <c r="BR37" s="72">
        <v>35.642823529411764</v>
      </c>
    </row>
    <row r="38" spans="1:70">
      <c r="A38" s="78"/>
      <c r="B38" s="79" t="s">
        <v>164</v>
      </c>
      <c r="C38" s="80"/>
      <c r="D38" s="93"/>
      <c r="E38" s="93"/>
      <c r="F38" s="93">
        <f>E38</f>
        <v>0</v>
      </c>
      <c r="G38" s="72">
        <f t="shared" si="3"/>
        <v>0</v>
      </c>
      <c r="H38" s="72">
        <f t="shared" si="4"/>
        <v>0</v>
      </c>
      <c r="I38" s="72" t="s">
        <v>135</v>
      </c>
      <c r="J38" s="72">
        <f t="shared" si="5"/>
        <v>0</v>
      </c>
      <c r="K38" s="72" t="str">
        <f t="shared" si="6"/>
        <v xml:space="preserve"> +/-</v>
      </c>
      <c r="M38" s="72">
        <v>37</v>
      </c>
      <c r="O38" s="77">
        <v>93.054000000000002</v>
      </c>
      <c r="P38" s="75">
        <v>1.31</v>
      </c>
      <c r="Q38" s="76">
        <v>1.31</v>
      </c>
      <c r="R38" s="75">
        <v>1.33</v>
      </c>
      <c r="S38" s="75">
        <v>1.37</v>
      </c>
      <c r="T38" s="75">
        <v>1.01</v>
      </c>
      <c r="U38" s="75">
        <v>1.24</v>
      </c>
      <c r="V38" s="75">
        <v>1.34</v>
      </c>
      <c r="W38" s="77">
        <v>4.0000000000000001E-3</v>
      </c>
      <c r="X38" s="77"/>
      <c r="Y38" s="75">
        <v>1.22</v>
      </c>
      <c r="Z38" s="75">
        <v>1.24</v>
      </c>
      <c r="AA38" s="75">
        <v>1.29</v>
      </c>
      <c r="AB38" s="75">
        <v>1.1299999999999999</v>
      </c>
      <c r="AC38" s="75">
        <v>1.24</v>
      </c>
      <c r="AD38" s="75">
        <v>1.22</v>
      </c>
      <c r="AE38" s="77"/>
      <c r="AF38" s="77"/>
      <c r="AG38" s="77"/>
      <c r="AH38" s="75">
        <v>1.96</v>
      </c>
      <c r="AI38" s="77"/>
      <c r="AJ38" s="75">
        <v>1.47</v>
      </c>
      <c r="AP38" s="72">
        <v>37</v>
      </c>
      <c r="AQ38" s="75">
        <v>1.47</v>
      </c>
      <c r="AR38" s="72">
        <f t="shared" si="0"/>
        <v>1.4406000000000001</v>
      </c>
      <c r="AS38" s="72">
        <f t="shared" si="1"/>
        <v>2.9399999999999871E-2</v>
      </c>
      <c r="AU38" s="74"/>
      <c r="AV38" s="72">
        <v>56</v>
      </c>
      <c r="BN38" s="72">
        <v>1015.8709803921572</v>
      </c>
      <c r="BO38" s="72">
        <v>26.906260869565216</v>
      </c>
      <c r="BP38" s="72">
        <v>27.05</v>
      </c>
      <c r="BQ38" s="72">
        <v>35.560923076923075</v>
      </c>
      <c r="BR38" s="72">
        <v>35.680470588235295</v>
      </c>
    </row>
    <row r="39" spans="1:70">
      <c r="A39" s="78"/>
      <c r="B39" s="79" t="s">
        <v>165</v>
      </c>
      <c r="C39" s="80"/>
      <c r="D39" s="93"/>
      <c r="E39" s="93"/>
      <c r="F39" s="93"/>
      <c r="G39" s="72">
        <f t="shared" si="3"/>
        <v>0</v>
      </c>
      <c r="H39" s="72">
        <f t="shared" si="4"/>
        <v>0</v>
      </c>
      <c r="I39" s="72" t="s">
        <v>135</v>
      </c>
      <c r="J39" s="72">
        <f t="shared" si="5"/>
        <v>0</v>
      </c>
      <c r="K39" s="72" t="str">
        <f t="shared" si="6"/>
        <v xml:space="preserve"> +/-</v>
      </c>
      <c r="M39" s="72">
        <v>38</v>
      </c>
      <c r="O39" s="77">
        <v>93.10499999999999</v>
      </c>
      <c r="P39" s="76">
        <v>1.26</v>
      </c>
      <c r="Q39" s="75">
        <v>1.39</v>
      </c>
      <c r="R39" s="76">
        <v>1.3</v>
      </c>
      <c r="S39" s="76">
        <v>1.31</v>
      </c>
      <c r="T39" s="76">
        <v>0.96</v>
      </c>
      <c r="U39" s="76">
        <v>1.19</v>
      </c>
      <c r="V39" s="76">
        <v>1.32</v>
      </c>
      <c r="W39" s="77">
        <v>5.0000000000000001E-3</v>
      </c>
      <c r="X39" s="77"/>
      <c r="Y39" s="76">
        <v>1.17</v>
      </c>
      <c r="Z39" s="76">
        <v>1.22</v>
      </c>
      <c r="AA39" s="76">
        <v>1.27</v>
      </c>
      <c r="AB39" s="75">
        <v>1.1599999999999999</v>
      </c>
      <c r="AC39" s="75">
        <v>1.23</v>
      </c>
      <c r="AD39" s="75">
        <v>1.21</v>
      </c>
      <c r="AE39" s="77"/>
      <c r="AF39" s="77"/>
      <c r="AG39" s="77"/>
      <c r="AH39" s="75">
        <v>1.98</v>
      </c>
      <c r="AI39" s="77"/>
      <c r="AJ39" s="76">
        <v>1.43</v>
      </c>
      <c r="AP39" s="72">
        <v>38</v>
      </c>
      <c r="AQ39" s="76">
        <v>1.43</v>
      </c>
      <c r="AR39" s="72">
        <f t="shared" si="0"/>
        <v>1.4406000000000001</v>
      </c>
      <c r="AS39" s="72">
        <f t="shared" si="1"/>
        <v>-1.0600000000000165E-2</v>
      </c>
      <c r="AU39" s="74"/>
      <c r="AV39" s="72">
        <v>57</v>
      </c>
      <c r="BN39" s="72">
        <v>1013.3866666666668</v>
      </c>
      <c r="BO39" s="72">
        <v>26.928434782608697</v>
      </c>
      <c r="BP39" s="72">
        <v>27.059750000000001</v>
      </c>
      <c r="BQ39" s="72">
        <v>35.583230769230767</v>
      </c>
      <c r="BR39" s="72">
        <v>35.687333333333335</v>
      </c>
    </row>
    <row r="40" spans="1:70">
      <c r="A40" s="78"/>
      <c r="B40" s="79" t="s">
        <v>166</v>
      </c>
      <c r="C40" s="80"/>
      <c r="D40" s="93"/>
      <c r="E40" s="93"/>
      <c r="F40" s="93"/>
      <c r="G40" s="72">
        <f t="shared" si="3"/>
        <v>0</v>
      </c>
      <c r="H40" s="72">
        <f t="shared" si="4"/>
        <v>0</v>
      </c>
      <c r="I40" s="72" t="s">
        <v>135</v>
      </c>
      <c r="J40" s="72">
        <f t="shared" si="5"/>
        <v>0</v>
      </c>
      <c r="K40" s="72" t="str">
        <f t="shared" si="6"/>
        <v xml:space="preserve"> +/-</v>
      </c>
      <c r="M40" s="72">
        <v>39</v>
      </c>
      <c r="O40" s="77">
        <v>93.081000000000003</v>
      </c>
      <c r="P40" s="75">
        <v>1.32</v>
      </c>
      <c r="Q40" s="76">
        <v>1.33</v>
      </c>
      <c r="R40" s="76">
        <v>1.29</v>
      </c>
      <c r="S40" s="76">
        <v>1.31</v>
      </c>
      <c r="T40" s="76">
        <v>0.98</v>
      </c>
      <c r="U40" s="75">
        <v>1.23</v>
      </c>
      <c r="V40" s="75">
        <v>1.37</v>
      </c>
      <c r="W40" s="77">
        <v>1E-3</v>
      </c>
      <c r="X40" s="77"/>
      <c r="Y40" s="75">
        <v>1.2</v>
      </c>
      <c r="Z40" s="75">
        <v>1.23</v>
      </c>
      <c r="AA40" s="75">
        <v>1.31</v>
      </c>
      <c r="AB40" s="75">
        <v>1.1499999999999999</v>
      </c>
      <c r="AC40" s="75">
        <v>1.17</v>
      </c>
      <c r="AD40" s="75">
        <v>1.1499999999999999</v>
      </c>
      <c r="AE40" s="77"/>
      <c r="AF40" s="77"/>
      <c r="AG40" s="77"/>
      <c r="AH40" s="75">
        <v>1.96</v>
      </c>
      <c r="AI40" s="77"/>
      <c r="AJ40" s="76">
        <v>1.45</v>
      </c>
      <c r="AP40" s="72">
        <v>39</v>
      </c>
      <c r="AQ40" s="76">
        <v>1.42</v>
      </c>
      <c r="AR40" s="72">
        <f t="shared" si="0"/>
        <v>1.4406000000000001</v>
      </c>
      <c r="AS40" s="72">
        <f t="shared" si="1"/>
        <v>-2.0600000000000174E-2</v>
      </c>
      <c r="AU40" s="74"/>
      <c r="AV40" s="72">
        <v>58</v>
      </c>
      <c r="BN40" s="72">
        <v>1016.6533333333334</v>
      </c>
      <c r="BO40" s="72">
        <v>27.037565217391304</v>
      </c>
      <c r="BP40" s="72">
        <v>27.033249999999999</v>
      </c>
      <c r="BQ40" s="72">
        <v>35.629384615384616</v>
      </c>
      <c r="BR40" s="72">
        <v>35.725568627450983</v>
      </c>
    </row>
    <row r="41" spans="1:70">
      <c r="A41" s="78"/>
      <c r="B41" s="79" t="s">
        <v>167</v>
      </c>
      <c r="C41" s="80" t="s">
        <v>168</v>
      </c>
      <c r="D41" s="93">
        <v>1.45</v>
      </c>
      <c r="E41" s="93">
        <v>0.1</v>
      </c>
      <c r="F41" s="93">
        <v>0.1</v>
      </c>
      <c r="G41" s="72">
        <f t="shared" si="3"/>
        <v>1.3499999999999999</v>
      </c>
      <c r="H41" s="72">
        <f t="shared" si="4"/>
        <v>1.55</v>
      </c>
      <c r="I41" s="72" t="s">
        <v>135</v>
      </c>
      <c r="J41" s="72" t="str">
        <f t="shared" si="5"/>
        <v>1 Thickness 1.45 +/-0.15</v>
      </c>
      <c r="K41" s="72" t="str">
        <f t="shared" si="6"/>
        <v>1.45 +/-0.1</v>
      </c>
      <c r="M41" s="72">
        <v>40</v>
      </c>
      <c r="O41" s="77">
        <v>93.206000000000003</v>
      </c>
      <c r="P41" s="75">
        <v>1.31</v>
      </c>
      <c r="Q41" s="76">
        <v>1.31</v>
      </c>
      <c r="R41" s="76">
        <v>1.29</v>
      </c>
      <c r="S41" s="75">
        <v>1.36</v>
      </c>
      <c r="T41" s="75">
        <v>1.02</v>
      </c>
      <c r="U41" s="76">
        <v>1.18</v>
      </c>
      <c r="V41" s="76">
        <v>1.33</v>
      </c>
      <c r="W41" s="77">
        <v>6.0000000000000001E-3</v>
      </c>
      <c r="X41" s="77"/>
      <c r="Y41" s="75">
        <v>1.2</v>
      </c>
      <c r="Z41" s="76">
        <v>1.21</v>
      </c>
      <c r="AA41" s="75">
        <v>1.28</v>
      </c>
      <c r="AB41" s="75">
        <v>1.1399999999999999</v>
      </c>
      <c r="AC41" s="75">
        <v>1.23</v>
      </c>
      <c r="AD41" s="75">
        <v>1.1399999999999999</v>
      </c>
      <c r="AE41" s="77"/>
      <c r="AF41" s="77"/>
      <c r="AG41" s="77"/>
      <c r="AH41" s="75">
        <v>1.95</v>
      </c>
      <c r="AI41" s="77"/>
      <c r="AJ41" s="75">
        <v>1.46</v>
      </c>
      <c r="AP41" s="72">
        <v>40</v>
      </c>
      <c r="AQ41" s="75">
        <v>1.46</v>
      </c>
      <c r="AR41" s="72">
        <f t="shared" si="0"/>
        <v>1.4406000000000001</v>
      </c>
      <c r="AS41" s="72">
        <f t="shared" si="1"/>
        <v>1.9399999999999862E-2</v>
      </c>
      <c r="AU41" s="74"/>
      <c r="AV41" s="72">
        <v>59</v>
      </c>
      <c r="BN41" s="72">
        <v>1017.5180392156866</v>
      </c>
      <c r="BO41" s="72">
        <v>26.985391304347825</v>
      </c>
      <c r="BP41" s="72">
        <v>27.059750000000001</v>
      </c>
      <c r="BQ41" s="72">
        <v>35.577076923076923</v>
      </c>
      <c r="BR41" s="72">
        <v>35.700274509803918</v>
      </c>
    </row>
    <row r="42" spans="1:70">
      <c r="B42" s="79" t="s">
        <v>169</v>
      </c>
      <c r="C42" s="80" t="s">
        <v>170</v>
      </c>
      <c r="D42" s="93"/>
      <c r="E42" s="93"/>
      <c r="F42" s="93"/>
      <c r="G42" s="72">
        <f>D42-E42</f>
        <v>0</v>
      </c>
      <c r="H42" s="72">
        <f>D42+F42</f>
        <v>0</v>
      </c>
      <c r="I42" s="72" t="s">
        <v>135</v>
      </c>
      <c r="J42" s="72" t="str">
        <f t="shared" si="5"/>
        <v>TPE150</v>
      </c>
      <c r="K42" s="72" t="str">
        <f t="shared" si="6"/>
        <v xml:space="preserve"> +/-</v>
      </c>
      <c r="M42" s="72">
        <v>41</v>
      </c>
      <c r="O42" s="77">
        <v>93.004999999999995</v>
      </c>
      <c r="P42" s="75">
        <v>1.29</v>
      </c>
      <c r="Q42" s="75">
        <v>1.38</v>
      </c>
      <c r="R42" s="75">
        <v>1.32</v>
      </c>
      <c r="S42" s="76">
        <v>1.29</v>
      </c>
      <c r="T42" s="76">
        <v>0.99</v>
      </c>
      <c r="U42" s="75">
        <v>1.21</v>
      </c>
      <c r="V42" s="75">
        <v>1.36</v>
      </c>
      <c r="W42" s="77">
        <v>5.0000000000000001E-3</v>
      </c>
      <c r="X42" s="77"/>
      <c r="Y42" s="76">
        <v>1.19</v>
      </c>
      <c r="Z42" s="75">
        <v>1.23</v>
      </c>
      <c r="AA42" s="76">
        <v>1.26</v>
      </c>
      <c r="AB42" s="75">
        <v>1.17</v>
      </c>
      <c r="AC42" s="75">
        <v>1.22</v>
      </c>
      <c r="AD42" s="75">
        <v>1.1499999999999999</v>
      </c>
      <c r="AE42" s="77"/>
      <c r="AF42" s="77"/>
      <c r="AG42" s="77"/>
      <c r="AH42" s="75">
        <v>1.95</v>
      </c>
      <c r="AI42" s="77"/>
      <c r="AJ42" s="76">
        <v>1.43</v>
      </c>
      <c r="AP42" s="72">
        <v>41</v>
      </c>
      <c r="AQ42" s="76">
        <v>1.43</v>
      </c>
      <c r="AR42" s="72">
        <f t="shared" si="0"/>
        <v>1.4406000000000001</v>
      </c>
      <c r="AS42" s="72">
        <f t="shared" si="1"/>
        <v>-1.0600000000000165E-2</v>
      </c>
      <c r="AU42" s="74"/>
      <c r="AV42" s="72">
        <v>60</v>
      </c>
      <c r="BN42" s="72">
        <v>1018.3552941176471</v>
      </c>
      <c r="BO42" s="72">
        <v>26.93669565217391</v>
      </c>
      <c r="BP42" s="72">
        <v>27.015000000000001</v>
      </c>
      <c r="BQ42" s="72">
        <v>35.593999999999994</v>
      </c>
      <c r="BR42" s="72">
        <v>35.664000000000001</v>
      </c>
    </row>
    <row r="43" spans="1:70">
      <c r="B43" s="79" t="s">
        <v>171</v>
      </c>
      <c r="C43" s="80" t="s">
        <v>172</v>
      </c>
      <c r="D43" s="93">
        <v>2</v>
      </c>
      <c r="E43" s="93">
        <v>0.1</v>
      </c>
      <c r="F43" s="93">
        <v>0.1</v>
      </c>
      <c r="G43" s="72">
        <f>D43-E43</f>
        <v>1.9</v>
      </c>
      <c r="H43" s="72">
        <f>D43+F43</f>
        <v>2.1</v>
      </c>
      <c r="I43" s="72" t="s">
        <v>135</v>
      </c>
      <c r="J43" s="72" t="str">
        <f t="shared" si="5"/>
        <v>2 Thickness 2.00 +/-0.15</v>
      </c>
      <c r="K43" s="72" t="str">
        <f t="shared" si="6"/>
        <v>2 +/-0.1</v>
      </c>
      <c r="M43" s="72">
        <v>42</v>
      </c>
      <c r="O43" s="77">
        <v>93.181000000000012</v>
      </c>
      <c r="P43" s="76">
        <v>1.29</v>
      </c>
      <c r="Q43" s="76">
        <v>1.32</v>
      </c>
      <c r="R43" s="75">
        <v>1.33</v>
      </c>
      <c r="S43" s="75">
        <v>1.37</v>
      </c>
      <c r="T43" s="76">
        <v>0.99</v>
      </c>
      <c r="U43" s="76">
        <v>1.1599999999999999</v>
      </c>
      <c r="V43" s="75">
        <v>1.37</v>
      </c>
      <c r="W43" s="77">
        <v>1E-3</v>
      </c>
      <c r="X43" s="77"/>
      <c r="Y43" s="75">
        <v>1.2</v>
      </c>
      <c r="Z43" s="75">
        <v>1.26</v>
      </c>
      <c r="AA43" s="75">
        <v>1.29</v>
      </c>
      <c r="AB43" s="75">
        <v>1.1200000000000001</v>
      </c>
      <c r="AC43" s="75">
        <v>1.21</v>
      </c>
      <c r="AD43" s="75">
        <v>1.17</v>
      </c>
      <c r="AE43" s="77"/>
      <c r="AF43" s="77"/>
      <c r="AG43" s="77"/>
      <c r="AH43" s="75">
        <v>1.95</v>
      </c>
      <c r="AI43" s="77"/>
      <c r="AJ43" s="75">
        <v>1.45</v>
      </c>
      <c r="AP43" s="72">
        <v>42</v>
      </c>
      <c r="AQ43" s="75">
        <v>1.45</v>
      </c>
      <c r="AR43" s="72">
        <f t="shared" si="0"/>
        <v>1.4406000000000001</v>
      </c>
      <c r="AS43" s="72">
        <f t="shared" si="1"/>
        <v>9.3999999999998529E-3</v>
      </c>
      <c r="AU43" s="74"/>
      <c r="AV43" s="72">
        <v>61</v>
      </c>
      <c r="BN43" s="72">
        <v>1016.0768627450982</v>
      </c>
      <c r="BO43" s="72">
        <v>26.944521739130433</v>
      </c>
      <c r="BP43" s="72">
        <v>27.046499999999998</v>
      </c>
      <c r="BQ43" s="72">
        <v>35.58938461538461</v>
      </c>
      <c r="BR43" s="72">
        <v>35.676352941176468</v>
      </c>
    </row>
    <row r="44" spans="1:70">
      <c r="B44" s="79" t="s">
        <v>167</v>
      </c>
      <c r="C44" s="80"/>
      <c r="D44" s="93"/>
      <c r="E44" s="93">
        <v>0.1</v>
      </c>
      <c r="F44" s="93">
        <v>0.1</v>
      </c>
      <c r="G44" s="72">
        <f>D44-E44</f>
        <v>-0.1</v>
      </c>
      <c r="H44" s="72">
        <f>D44+F44</f>
        <v>0.1</v>
      </c>
      <c r="I44" s="72" t="s">
        <v>135</v>
      </c>
      <c r="J44" s="72">
        <f t="shared" si="5"/>
        <v>0</v>
      </c>
      <c r="K44" s="72" t="str">
        <f t="shared" si="6"/>
        <v xml:space="preserve"> +/-0.1</v>
      </c>
      <c r="M44" s="72">
        <v>43</v>
      </c>
      <c r="O44" s="77">
        <v>93.016000000000005</v>
      </c>
      <c r="P44" s="75">
        <v>1.29</v>
      </c>
      <c r="Q44" s="76">
        <v>1.35</v>
      </c>
      <c r="R44" s="76">
        <v>1.3</v>
      </c>
      <c r="S44" s="76">
        <v>1.31</v>
      </c>
      <c r="T44" s="75">
        <v>1</v>
      </c>
      <c r="U44" s="75">
        <v>1.22</v>
      </c>
      <c r="V44" s="76">
        <v>1.32</v>
      </c>
      <c r="W44" s="77">
        <v>6.0000000000000001E-3</v>
      </c>
      <c r="X44" s="77"/>
      <c r="Y44" s="76">
        <v>1.17</v>
      </c>
      <c r="Z44" s="76">
        <v>1.2</v>
      </c>
      <c r="AA44" s="76">
        <v>1.26</v>
      </c>
      <c r="AB44" s="75">
        <v>1.1200000000000001</v>
      </c>
      <c r="AC44" s="75">
        <v>1.18</v>
      </c>
      <c r="AD44" s="75">
        <v>1.2</v>
      </c>
      <c r="AE44" s="77"/>
      <c r="AF44" s="77"/>
      <c r="AG44" s="77"/>
      <c r="AH44" s="75">
        <v>1.96</v>
      </c>
      <c r="AI44" s="77"/>
      <c r="AJ44" s="76">
        <v>1.43</v>
      </c>
      <c r="AP44" s="72">
        <v>43</v>
      </c>
      <c r="AQ44" s="76">
        <v>1.43</v>
      </c>
      <c r="AR44" s="72">
        <f t="shared" si="0"/>
        <v>1.4406000000000001</v>
      </c>
      <c r="AS44" s="72">
        <f t="shared" si="1"/>
        <v>-1.0600000000000165E-2</v>
      </c>
      <c r="AU44" s="74"/>
      <c r="AV44" s="72">
        <v>62</v>
      </c>
      <c r="BN44" s="72">
        <v>1019.384705882353</v>
      </c>
      <c r="BO44" s="72">
        <v>26.914956521739128</v>
      </c>
      <c r="BP44" s="72">
        <v>26.96</v>
      </c>
      <c r="BQ44" s="72">
        <v>35.547846153846152</v>
      </c>
      <c r="BR44" s="72">
        <v>35.693411764705878</v>
      </c>
    </row>
    <row r="45" spans="1:70">
      <c r="B45" s="79" t="s">
        <v>171</v>
      </c>
      <c r="C45" s="80" t="s">
        <v>173</v>
      </c>
      <c r="K45" s="72" t="str">
        <f t="shared" si="6"/>
        <v/>
      </c>
      <c r="M45" s="72">
        <v>44</v>
      </c>
      <c r="O45" s="77">
        <v>93.164000000000001</v>
      </c>
      <c r="P45" s="76">
        <v>1.27</v>
      </c>
      <c r="Q45" s="76">
        <v>1.32</v>
      </c>
      <c r="R45" s="75">
        <v>1.34</v>
      </c>
      <c r="S45" s="76">
        <v>1.3</v>
      </c>
      <c r="T45" s="76">
        <v>0.97</v>
      </c>
      <c r="U45" s="76">
        <v>1.2</v>
      </c>
      <c r="V45" s="75">
        <v>1.36</v>
      </c>
      <c r="W45" s="77">
        <v>4.0000000000000001E-3</v>
      </c>
      <c r="X45" s="77"/>
      <c r="Y45" s="76">
        <v>1.18</v>
      </c>
      <c r="Z45" s="75">
        <v>1.23</v>
      </c>
      <c r="AA45" s="75">
        <v>1.29</v>
      </c>
      <c r="AB45" s="75">
        <v>1.1299999999999999</v>
      </c>
      <c r="AC45" s="75">
        <v>1.23</v>
      </c>
      <c r="AD45" s="75">
        <v>1.18</v>
      </c>
      <c r="AE45" s="77"/>
      <c r="AF45" s="77"/>
      <c r="AG45" s="77"/>
      <c r="AH45" s="75">
        <v>1.95</v>
      </c>
      <c r="AI45" s="77"/>
      <c r="AJ45" s="76">
        <v>1.45</v>
      </c>
      <c r="AP45" s="72">
        <v>44</v>
      </c>
      <c r="AQ45" s="76">
        <v>1.42</v>
      </c>
      <c r="AR45" s="72">
        <f t="shared" si="0"/>
        <v>1.4406000000000001</v>
      </c>
      <c r="AS45" s="72">
        <f t="shared" si="1"/>
        <v>-2.0600000000000174E-2</v>
      </c>
      <c r="AU45" s="74"/>
      <c r="AV45" s="72">
        <v>63</v>
      </c>
      <c r="BN45" s="72">
        <v>1016.0768627450982</v>
      </c>
      <c r="BO45" s="72">
        <v>26.910608695652169</v>
      </c>
      <c r="BP45" s="72">
        <v>27.042000000000002</v>
      </c>
      <c r="BQ45" s="72">
        <v>35.567461538461544</v>
      </c>
      <c r="BR45" s="72">
        <v>35.737333333333332</v>
      </c>
    </row>
    <row r="46" spans="1:70">
      <c r="B46" s="70" t="s">
        <v>174</v>
      </c>
      <c r="C46" s="71" t="s">
        <v>175</v>
      </c>
      <c r="M46" s="72">
        <v>45</v>
      </c>
      <c r="O46" s="77">
        <v>93.015000000000001</v>
      </c>
      <c r="P46" s="75">
        <v>1.33</v>
      </c>
      <c r="Q46" s="75">
        <v>1.36</v>
      </c>
      <c r="R46" s="76">
        <v>1.29</v>
      </c>
      <c r="S46" s="75">
        <v>1.36</v>
      </c>
      <c r="T46" s="75">
        <v>1</v>
      </c>
      <c r="U46" s="76">
        <v>1.17</v>
      </c>
      <c r="V46" s="76">
        <v>1.33</v>
      </c>
      <c r="W46" s="77">
        <v>5.0000000000000001E-3</v>
      </c>
      <c r="X46" s="77"/>
      <c r="Y46" s="75">
        <v>1.23</v>
      </c>
      <c r="Z46" s="76">
        <v>1.22</v>
      </c>
      <c r="AA46" s="76">
        <v>1.27</v>
      </c>
      <c r="AB46" s="75">
        <v>1.18</v>
      </c>
      <c r="AC46" s="75">
        <v>1.17</v>
      </c>
      <c r="AD46" s="75">
        <v>1.1299999999999999</v>
      </c>
      <c r="AE46" s="77"/>
      <c r="AF46" s="77"/>
      <c r="AG46" s="77"/>
      <c r="AH46" s="75">
        <v>1.98</v>
      </c>
      <c r="AI46" s="77"/>
      <c r="AJ46" s="75">
        <v>1.47</v>
      </c>
      <c r="AP46" s="72">
        <v>45</v>
      </c>
      <c r="AQ46" s="75">
        <v>1.47</v>
      </c>
      <c r="AR46" s="72">
        <f t="shared" si="0"/>
        <v>1.4406000000000001</v>
      </c>
      <c r="AS46" s="72">
        <f t="shared" si="1"/>
        <v>2.9399999999999871E-2</v>
      </c>
      <c r="AU46" s="74"/>
      <c r="AV46" s="72">
        <v>64</v>
      </c>
      <c r="BN46" s="72">
        <v>1013.3866666666668</v>
      </c>
      <c r="BO46" s="72">
        <v>26.881043478260871</v>
      </c>
      <c r="BP46" s="72">
        <v>27.015999999999998</v>
      </c>
      <c r="BQ46" s="72">
        <v>35.675538461538466</v>
      </c>
      <c r="BR46" s="72">
        <v>35.681647058823529</v>
      </c>
    </row>
    <row r="47" spans="1:70">
      <c r="C47" s="94">
        <v>45917</v>
      </c>
      <c r="M47" s="72">
        <v>46</v>
      </c>
      <c r="O47" s="77">
        <v>93.061000000000007</v>
      </c>
      <c r="P47" s="76">
        <v>1.28</v>
      </c>
      <c r="Q47" s="76">
        <v>1.34</v>
      </c>
      <c r="R47" s="75">
        <v>1.32</v>
      </c>
      <c r="S47" s="76">
        <v>1.32</v>
      </c>
      <c r="T47" s="76">
        <v>0.97</v>
      </c>
      <c r="U47" s="75">
        <v>1.26</v>
      </c>
      <c r="V47" s="75">
        <v>1.37</v>
      </c>
      <c r="W47" s="77">
        <v>1E-3</v>
      </c>
      <c r="X47" s="77"/>
      <c r="Y47" s="76">
        <v>1.18</v>
      </c>
      <c r="Z47" s="75">
        <v>1.25</v>
      </c>
      <c r="AA47" s="76">
        <v>1.26</v>
      </c>
      <c r="AB47" s="75">
        <v>1.18</v>
      </c>
      <c r="AC47" s="75">
        <v>1.23</v>
      </c>
      <c r="AD47" s="75">
        <v>1.21</v>
      </c>
      <c r="AE47" s="77"/>
      <c r="AF47" s="77"/>
      <c r="AG47" s="77"/>
      <c r="AH47" s="75">
        <v>1.95</v>
      </c>
      <c r="AI47" s="77"/>
      <c r="AJ47" s="76">
        <v>1.45</v>
      </c>
      <c r="AP47" s="72">
        <v>46</v>
      </c>
      <c r="AQ47" s="76">
        <v>1.42</v>
      </c>
      <c r="AR47" s="72">
        <f t="shared" si="0"/>
        <v>1.4406000000000001</v>
      </c>
      <c r="AS47" s="72">
        <f t="shared" si="1"/>
        <v>-2.0600000000000174E-2</v>
      </c>
      <c r="AU47" s="74"/>
      <c r="AV47" s="72">
        <v>65</v>
      </c>
      <c r="BN47" s="72">
        <v>1016.9003921568631</v>
      </c>
      <c r="BO47" s="72">
        <v>26.978434782608694</v>
      </c>
      <c r="BP47" s="72">
        <v>27.037500000000001</v>
      </c>
      <c r="BQ47" s="72">
        <v>35.583999999999996</v>
      </c>
      <c r="BR47" s="72">
        <v>35.655568627450975</v>
      </c>
    </row>
    <row r="48" spans="1:70">
      <c r="M48" s="72">
        <v>47</v>
      </c>
      <c r="O48" s="77">
        <v>93.156000000000006</v>
      </c>
      <c r="P48" s="76">
        <v>1.27</v>
      </c>
      <c r="Q48" s="75">
        <v>1.4</v>
      </c>
      <c r="R48" s="76">
        <v>1.3</v>
      </c>
      <c r="S48" s="75">
        <v>1.36</v>
      </c>
      <c r="T48" s="76">
        <v>0.97</v>
      </c>
      <c r="U48" s="76">
        <v>1.19</v>
      </c>
      <c r="V48" s="75">
        <v>1.37</v>
      </c>
      <c r="W48" s="77">
        <v>6.0000000000000001E-3</v>
      </c>
      <c r="X48" s="77"/>
      <c r="Y48" s="75">
        <v>1.21</v>
      </c>
      <c r="Z48" s="76">
        <v>1.19</v>
      </c>
      <c r="AA48" s="75">
        <v>1.32</v>
      </c>
      <c r="AB48" s="75">
        <v>1.1100000000000001</v>
      </c>
      <c r="AC48" s="75">
        <v>1.2</v>
      </c>
      <c r="AD48" s="75">
        <v>1.1299999999999999</v>
      </c>
      <c r="AE48" s="77"/>
      <c r="AF48" s="77"/>
      <c r="AG48" s="77"/>
      <c r="AH48" s="75">
        <v>1.97</v>
      </c>
      <c r="AI48" s="77"/>
      <c r="AJ48" s="75">
        <v>1.46</v>
      </c>
      <c r="AP48" s="72">
        <v>47</v>
      </c>
      <c r="AQ48" s="75">
        <v>1.46</v>
      </c>
      <c r="AR48" s="72">
        <f t="shared" si="0"/>
        <v>1.4406000000000001</v>
      </c>
      <c r="AS48" s="72">
        <f t="shared" si="1"/>
        <v>1.9399999999999862E-2</v>
      </c>
      <c r="AU48" s="74"/>
      <c r="AV48" s="72">
        <v>66</v>
      </c>
      <c r="BN48" s="72">
        <v>1016.2964705882357</v>
      </c>
      <c r="BO48" s="72">
        <v>26.925391304347823</v>
      </c>
      <c r="BP48" s="72">
        <v>27.046250000000001</v>
      </c>
      <c r="BQ48" s="72">
        <v>35.557076923076927</v>
      </c>
      <c r="BR48" s="72">
        <v>35.725568627450976</v>
      </c>
    </row>
    <row r="49" spans="13:70">
      <c r="M49" s="72">
        <v>48</v>
      </c>
      <c r="O49" s="77">
        <v>93.012</v>
      </c>
      <c r="P49" s="75">
        <v>1.32</v>
      </c>
      <c r="Q49" s="75">
        <v>1.36</v>
      </c>
      <c r="R49" s="75">
        <v>1.33</v>
      </c>
      <c r="S49" s="76">
        <v>1.32</v>
      </c>
      <c r="T49" s="75">
        <v>1.01</v>
      </c>
      <c r="U49" s="75">
        <v>1.21</v>
      </c>
      <c r="V49" s="76">
        <v>1.3</v>
      </c>
      <c r="W49" s="77">
        <v>2E-3</v>
      </c>
      <c r="X49" s="77"/>
      <c r="Y49" s="75">
        <v>1.21</v>
      </c>
      <c r="Z49" s="75">
        <v>1.23</v>
      </c>
      <c r="AA49" s="76">
        <v>1.26</v>
      </c>
      <c r="AB49" s="75">
        <v>1.1599999999999999</v>
      </c>
      <c r="AC49" s="75">
        <v>1.21</v>
      </c>
      <c r="AD49" s="75">
        <v>1.19</v>
      </c>
      <c r="AE49" s="77"/>
      <c r="AF49" s="77"/>
      <c r="AG49" s="77"/>
      <c r="AH49" s="75">
        <v>1.96</v>
      </c>
      <c r="AI49" s="77"/>
      <c r="AJ49" s="76">
        <v>1.42</v>
      </c>
      <c r="AP49" s="72">
        <v>48</v>
      </c>
      <c r="AQ49" s="76">
        <v>1.42</v>
      </c>
      <c r="AR49" s="72">
        <f t="shared" si="0"/>
        <v>1.4406000000000001</v>
      </c>
      <c r="AS49" s="72">
        <f t="shared" si="1"/>
        <v>-2.0600000000000174E-2</v>
      </c>
      <c r="AU49" s="74"/>
      <c r="AV49" s="72">
        <v>67</v>
      </c>
      <c r="BN49" s="72">
        <v>1016.4611764705885</v>
      </c>
      <c r="BO49" s="72">
        <v>26.98017391304348</v>
      </c>
      <c r="BP49" s="72">
        <v>27.095000000000002</v>
      </c>
      <c r="BQ49" s="72">
        <v>35.575923076923075</v>
      </c>
      <c r="BR49" s="72">
        <v>35.685960784313721</v>
      </c>
    </row>
    <row r="50" spans="13:70">
      <c r="M50" s="72">
        <v>49</v>
      </c>
      <c r="O50" s="77">
        <v>93.001000000000005</v>
      </c>
      <c r="P50" s="76">
        <v>1.26</v>
      </c>
      <c r="Q50" s="76">
        <v>1.35</v>
      </c>
      <c r="R50" s="76">
        <v>1.29</v>
      </c>
      <c r="S50" s="75">
        <v>1.34</v>
      </c>
      <c r="T50" s="75">
        <v>1.03</v>
      </c>
      <c r="U50" s="76">
        <v>1.19</v>
      </c>
      <c r="V50" s="75">
        <v>1.37</v>
      </c>
      <c r="W50" s="77">
        <v>1E-3</v>
      </c>
      <c r="X50" s="77"/>
      <c r="Y50" s="76">
        <v>1.17</v>
      </c>
      <c r="Z50" s="76">
        <v>1.21</v>
      </c>
      <c r="AA50" s="76">
        <v>1.25</v>
      </c>
      <c r="AB50" s="75">
        <v>1.1200000000000001</v>
      </c>
      <c r="AC50" s="75">
        <v>1.23</v>
      </c>
      <c r="AD50" s="75">
        <v>1.1299999999999999</v>
      </c>
      <c r="AE50" s="77"/>
      <c r="AF50" s="77"/>
      <c r="AG50" s="77"/>
      <c r="AH50" s="75">
        <v>1.95</v>
      </c>
      <c r="AI50" s="77"/>
      <c r="AJ50" s="75">
        <v>1.47</v>
      </c>
      <c r="AP50" s="72">
        <v>49</v>
      </c>
      <c r="AQ50" s="76">
        <v>1.42</v>
      </c>
      <c r="AR50" s="72">
        <f t="shared" si="0"/>
        <v>1.4406000000000001</v>
      </c>
      <c r="AS50" s="72">
        <f t="shared" si="1"/>
        <v>-2.0600000000000174E-2</v>
      </c>
      <c r="AU50" s="74"/>
      <c r="AV50" s="72">
        <v>68</v>
      </c>
      <c r="BN50" s="72">
        <v>1019.3</v>
      </c>
      <c r="BO50" s="72">
        <v>26.892347826086958</v>
      </c>
      <c r="BP50" s="72">
        <v>27.062750000000001</v>
      </c>
      <c r="BQ50" s="72">
        <v>35.490153846153845</v>
      </c>
      <c r="BR50" s="72">
        <v>35.737333333333332</v>
      </c>
    </row>
    <row r="51" spans="13:70">
      <c r="M51" s="72">
        <v>50</v>
      </c>
      <c r="O51" s="77">
        <v>93.072999999999993</v>
      </c>
      <c r="P51" s="75">
        <v>1.31</v>
      </c>
      <c r="Q51" s="75">
        <v>1.4</v>
      </c>
      <c r="R51" s="75">
        <v>1.32</v>
      </c>
      <c r="S51" s="76">
        <v>1.29</v>
      </c>
      <c r="T51" s="76">
        <v>0.96</v>
      </c>
      <c r="U51" s="76">
        <v>1.18</v>
      </c>
      <c r="V51" s="76">
        <v>1.33</v>
      </c>
      <c r="W51" s="77">
        <v>3.0000000000000001E-3</v>
      </c>
      <c r="X51" s="77"/>
      <c r="Y51" s="75">
        <v>1.23</v>
      </c>
      <c r="Z51" s="75">
        <v>1.26</v>
      </c>
      <c r="AA51" s="75">
        <v>1.28</v>
      </c>
      <c r="AB51" s="75">
        <v>1.1499999999999999</v>
      </c>
      <c r="AC51" s="75">
        <v>1.21</v>
      </c>
      <c r="AD51" s="75">
        <v>1.1499999999999999</v>
      </c>
      <c r="AE51" s="77"/>
      <c r="AF51" s="77"/>
      <c r="AG51" s="77"/>
      <c r="AH51" s="75">
        <v>1.96</v>
      </c>
      <c r="AI51" s="77"/>
      <c r="AJ51" s="76">
        <v>1.43</v>
      </c>
      <c r="AP51" s="72">
        <v>50</v>
      </c>
      <c r="AQ51" s="76">
        <v>1.43</v>
      </c>
      <c r="AR51" s="72">
        <f t="shared" si="0"/>
        <v>1.4406000000000001</v>
      </c>
      <c r="AS51" s="72">
        <f t="shared" si="1"/>
        <v>-1.0600000000000165E-2</v>
      </c>
      <c r="AU51" s="74"/>
      <c r="AV51" s="72">
        <v>69</v>
      </c>
      <c r="BN51" s="72">
        <v>1017.2435294117647</v>
      </c>
      <c r="BO51" s="72">
        <v>26.957999999999998</v>
      </c>
      <c r="BP51" s="72">
        <v>27.035499999999999</v>
      </c>
      <c r="BQ51" s="72">
        <v>35.564</v>
      </c>
      <c r="BR51" s="72">
        <v>35.701843137254897</v>
      </c>
    </row>
    <row r="52" spans="13:70">
      <c r="M52" s="72">
        <v>51</v>
      </c>
      <c r="O52" s="77">
        <v>93.171000000000006</v>
      </c>
      <c r="P52" s="75">
        <v>1.29</v>
      </c>
      <c r="Q52" s="76">
        <v>1.35</v>
      </c>
      <c r="R52" s="76">
        <v>1.29</v>
      </c>
      <c r="S52" s="76">
        <v>1.3</v>
      </c>
      <c r="T52" s="76">
        <v>0.96</v>
      </c>
      <c r="U52" s="75">
        <v>1.25</v>
      </c>
      <c r="V52" s="75">
        <v>1.37</v>
      </c>
      <c r="W52" s="77">
        <v>1E-3</v>
      </c>
      <c r="X52" s="77"/>
      <c r="Y52" s="76">
        <v>1.19</v>
      </c>
      <c r="Z52" s="76">
        <v>1.19</v>
      </c>
      <c r="AA52" s="76">
        <v>1.27</v>
      </c>
      <c r="AB52" s="75">
        <v>1.1000000000000001</v>
      </c>
      <c r="AC52" s="75">
        <v>1.21</v>
      </c>
      <c r="AD52" s="75">
        <v>1.1499999999999999</v>
      </c>
      <c r="AE52" s="77"/>
      <c r="AF52" s="77"/>
      <c r="AG52" s="77"/>
      <c r="AH52" s="75">
        <v>1.94</v>
      </c>
      <c r="AI52" s="77"/>
      <c r="AJ52" s="76">
        <v>1.44</v>
      </c>
      <c r="AP52" s="72">
        <v>51</v>
      </c>
      <c r="AQ52" s="76">
        <v>1.44</v>
      </c>
      <c r="AR52" s="72">
        <f t="shared" si="0"/>
        <v>1.4406000000000001</v>
      </c>
      <c r="AS52" s="72">
        <f t="shared" si="1"/>
        <v>-6.0000000000015596E-4</v>
      </c>
      <c r="AU52" s="74"/>
      <c r="AV52" s="72">
        <v>70</v>
      </c>
      <c r="BN52" s="72">
        <v>1017.2435294117647</v>
      </c>
      <c r="BO52" s="72">
        <v>26.957999999999998</v>
      </c>
      <c r="BP52" s="72">
        <v>27.035499999999999</v>
      </c>
      <c r="BQ52" s="72">
        <v>35.564</v>
      </c>
      <c r="BR52" s="72">
        <v>35.701843137254897</v>
      </c>
    </row>
    <row r="53" spans="13:70">
      <c r="M53" s="72">
        <v>52</v>
      </c>
      <c r="O53" s="77">
        <v>93.123000000000005</v>
      </c>
      <c r="P53" s="76">
        <v>1.29</v>
      </c>
      <c r="Q53" s="75">
        <v>1.38</v>
      </c>
      <c r="R53" s="76">
        <v>1.3</v>
      </c>
      <c r="S53" s="75">
        <v>1.35</v>
      </c>
      <c r="T53" s="75">
        <v>1.01</v>
      </c>
      <c r="U53" s="76">
        <v>1.19</v>
      </c>
      <c r="V53" s="76">
        <v>1.3</v>
      </c>
      <c r="W53" s="77">
        <v>3.0000000000000001E-3</v>
      </c>
      <c r="X53" s="77"/>
      <c r="Y53" s="75">
        <v>1.2</v>
      </c>
      <c r="Z53" s="75">
        <v>1.23</v>
      </c>
      <c r="AA53" s="75">
        <v>1.3</v>
      </c>
      <c r="AB53" s="75">
        <v>1.1200000000000001</v>
      </c>
      <c r="AC53" s="75">
        <v>1.25</v>
      </c>
      <c r="AD53" s="75">
        <v>1.1499999999999999</v>
      </c>
      <c r="AE53" s="77"/>
      <c r="AF53" s="77"/>
      <c r="AG53" s="77"/>
      <c r="AH53" s="75">
        <v>1.98</v>
      </c>
      <c r="AI53" s="77"/>
      <c r="AJ53" s="75">
        <v>1.46</v>
      </c>
      <c r="AP53" s="72">
        <v>52</v>
      </c>
      <c r="AQ53" s="75">
        <v>1.46</v>
      </c>
      <c r="AR53" s="72">
        <f t="shared" si="0"/>
        <v>1.4406000000000001</v>
      </c>
      <c r="AS53" s="72">
        <f t="shared" si="1"/>
        <v>1.9399999999999862E-2</v>
      </c>
      <c r="AU53" s="74"/>
      <c r="AV53" s="72">
        <v>71</v>
      </c>
      <c r="BN53" s="72">
        <v>1017.6552941176473</v>
      </c>
      <c r="BO53" s="72">
        <v>26.885826086956524</v>
      </c>
      <c r="BP53" s="72">
        <v>27.05</v>
      </c>
      <c r="BQ53" s="72">
        <v>35.577461538461542</v>
      </c>
      <c r="BR53" s="72">
        <v>35.698901960784312</v>
      </c>
    </row>
    <row r="54" spans="13:70">
      <c r="M54" s="72">
        <v>53</v>
      </c>
      <c r="O54" s="77">
        <v>93.044000000000011</v>
      </c>
      <c r="P54" s="75">
        <v>1.32</v>
      </c>
      <c r="Q54" s="76">
        <v>1.32</v>
      </c>
      <c r="R54" s="76">
        <v>1.3</v>
      </c>
      <c r="S54" s="76">
        <v>1.31</v>
      </c>
      <c r="T54" s="76">
        <v>0.98</v>
      </c>
      <c r="U54" s="76">
        <v>1.2</v>
      </c>
      <c r="V54" s="75">
        <v>1.34</v>
      </c>
      <c r="W54" s="77">
        <v>4.0000000000000001E-3</v>
      </c>
      <c r="X54" s="77"/>
      <c r="Y54" s="76">
        <v>1.1599999999999999</v>
      </c>
      <c r="Z54" s="75">
        <v>1.25</v>
      </c>
      <c r="AA54" s="75">
        <v>1.28</v>
      </c>
      <c r="AB54" s="75">
        <v>1.1399999999999999</v>
      </c>
      <c r="AC54" s="75">
        <v>1.2</v>
      </c>
      <c r="AD54" s="75">
        <v>1.1399999999999999</v>
      </c>
      <c r="AE54" s="77"/>
      <c r="AF54" s="77"/>
      <c r="AG54" s="77"/>
      <c r="AH54" s="75">
        <v>1.95</v>
      </c>
      <c r="AI54" s="77"/>
      <c r="AJ54" s="76">
        <v>1.42</v>
      </c>
      <c r="AP54" s="72">
        <v>53</v>
      </c>
      <c r="AQ54" s="75">
        <v>1.47</v>
      </c>
      <c r="AR54" s="72">
        <f t="shared" si="0"/>
        <v>1.4406000000000001</v>
      </c>
      <c r="AS54" s="72">
        <f t="shared" si="1"/>
        <v>2.9399999999999871E-2</v>
      </c>
      <c r="AU54" s="74"/>
      <c r="AV54" s="72">
        <v>72</v>
      </c>
      <c r="BN54" s="72">
        <v>1014.2101960784312</v>
      </c>
      <c r="BO54" s="72">
        <v>26.93321739130435</v>
      </c>
      <c r="BP54" s="72">
        <v>27.080000000000002</v>
      </c>
      <c r="BQ54" s="72">
        <v>35.652461538461537</v>
      </c>
      <c r="BR54" s="72">
        <v>35.651647058823528</v>
      </c>
    </row>
    <row r="55" spans="13:70">
      <c r="M55" s="72">
        <v>54</v>
      </c>
      <c r="O55" s="77">
        <v>93.087999999999994</v>
      </c>
      <c r="P55" s="75">
        <v>1.33</v>
      </c>
      <c r="Q55" s="75">
        <v>1.4</v>
      </c>
      <c r="R55" s="75">
        <v>1.32</v>
      </c>
      <c r="S55" s="75">
        <v>1.34</v>
      </c>
      <c r="T55" s="75">
        <v>1</v>
      </c>
      <c r="U55" s="75">
        <v>1.26</v>
      </c>
      <c r="V55" s="75">
        <v>1.37</v>
      </c>
      <c r="W55" s="77">
        <v>8.0000000000000002E-3</v>
      </c>
      <c r="X55" s="77"/>
      <c r="Y55" s="75">
        <v>1.2</v>
      </c>
      <c r="Z55" s="76">
        <v>1.22</v>
      </c>
      <c r="AA55" s="76">
        <v>1.24</v>
      </c>
      <c r="AB55" s="75">
        <v>1.1499999999999999</v>
      </c>
      <c r="AC55" s="75">
        <v>1.2</v>
      </c>
      <c r="AD55" s="75">
        <v>1.1499999999999999</v>
      </c>
      <c r="AE55" s="77"/>
      <c r="AF55" s="77"/>
      <c r="AG55" s="77"/>
      <c r="AH55" s="75">
        <v>1.96</v>
      </c>
      <c r="AI55" s="77"/>
      <c r="AJ55" s="75">
        <v>1.47</v>
      </c>
      <c r="AP55" s="72">
        <v>54</v>
      </c>
      <c r="AQ55" s="75">
        <v>1.47</v>
      </c>
      <c r="AR55" s="72">
        <f t="shared" si="0"/>
        <v>1.4406000000000001</v>
      </c>
      <c r="AS55" s="72">
        <f t="shared" si="1"/>
        <v>2.9399999999999871E-2</v>
      </c>
      <c r="AU55" s="74"/>
      <c r="AV55" s="72">
        <v>73</v>
      </c>
      <c r="BN55" s="72">
        <v>1017.6415686274512</v>
      </c>
      <c r="BO55" s="72">
        <v>26.934521739130435</v>
      </c>
      <c r="BP55" s="72">
        <v>27.033000000000001</v>
      </c>
      <c r="BQ55" s="72">
        <v>35.515153846153844</v>
      </c>
      <c r="BR55" s="72">
        <v>35.698901960784312</v>
      </c>
    </row>
    <row r="56" spans="13:70">
      <c r="M56" s="72">
        <v>55</v>
      </c>
      <c r="O56" s="77">
        <v>93.119</v>
      </c>
      <c r="P56" s="76">
        <v>1.27</v>
      </c>
      <c r="Q56" s="75">
        <v>1.37</v>
      </c>
      <c r="R56" s="75">
        <v>1.31</v>
      </c>
      <c r="S56" s="76">
        <v>1.3</v>
      </c>
      <c r="T56" s="76">
        <v>0.96</v>
      </c>
      <c r="U56" s="76">
        <v>1.18</v>
      </c>
      <c r="V56" s="75">
        <v>1.39</v>
      </c>
      <c r="W56" s="77">
        <v>8.9999999999999993E-3</v>
      </c>
      <c r="X56" s="77"/>
      <c r="Y56" s="76">
        <v>1.19</v>
      </c>
      <c r="Z56" s="75">
        <v>1.23</v>
      </c>
      <c r="AA56" s="75">
        <v>1.28</v>
      </c>
      <c r="AB56" s="75">
        <v>1.1200000000000001</v>
      </c>
      <c r="AC56" s="75">
        <v>1.19</v>
      </c>
      <c r="AD56" s="75">
        <v>1.2</v>
      </c>
      <c r="AE56" s="77"/>
      <c r="AF56" s="77"/>
      <c r="AG56" s="77"/>
      <c r="AH56" s="75">
        <v>1.94</v>
      </c>
      <c r="AI56" s="77"/>
      <c r="AJ56" s="76">
        <v>1.44</v>
      </c>
      <c r="AP56" s="72">
        <v>55</v>
      </c>
      <c r="AQ56" s="76">
        <v>1.44</v>
      </c>
      <c r="AR56" s="72">
        <f t="shared" si="0"/>
        <v>1.4406000000000001</v>
      </c>
      <c r="AS56" s="72">
        <f t="shared" si="1"/>
        <v>-6.0000000000015596E-4</v>
      </c>
      <c r="AU56" s="74"/>
      <c r="AV56" s="72">
        <v>74</v>
      </c>
      <c r="BN56" s="72">
        <v>1016.5984313725492</v>
      </c>
      <c r="BO56" s="72">
        <v>26.988</v>
      </c>
      <c r="BP56" s="72">
        <v>27.045249999999999</v>
      </c>
      <c r="BQ56" s="72">
        <v>35.652461538461537</v>
      </c>
      <c r="BR56" s="72">
        <v>35.737333333333332</v>
      </c>
    </row>
    <row r="57" spans="13:70">
      <c r="M57" s="72">
        <v>56</v>
      </c>
      <c r="O57" s="77">
        <v>93.051000000000002</v>
      </c>
      <c r="P57" s="75">
        <v>1.3</v>
      </c>
      <c r="Q57" s="76">
        <v>1.34</v>
      </c>
      <c r="R57" s="76">
        <v>1.27</v>
      </c>
      <c r="S57" s="76">
        <v>1.33</v>
      </c>
      <c r="T57" s="75">
        <v>1.04</v>
      </c>
      <c r="U57" s="75">
        <v>1.22</v>
      </c>
      <c r="V57" s="76">
        <v>1.33</v>
      </c>
      <c r="W57" s="77">
        <v>1E-3</v>
      </c>
      <c r="X57" s="77"/>
      <c r="Y57" s="75">
        <v>1.23</v>
      </c>
      <c r="Z57" s="76">
        <v>1.21</v>
      </c>
      <c r="AA57" s="75">
        <v>1.31</v>
      </c>
      <c r="AB57" s="75">
        <v>1.17</v>
      </c>
      <c r="AC57" s="75">
        <v>1.25</v>
      </c>
      <c r="AD57" s="75">
        <v>1.17</v>
      </c>
      <c r="AE57" s="77"/>
      <c r="AF57" s="77"/>
      <c r="AG57" s="77"/>
      <c r="AH57" s="75">
        <v>1.94</v>
      </c>
      <c r="AI57" s="77"/>
      <c r="AJ57" s="75">
        <v>1.46</v>
      </c>
      <c r="AP57" s="72">
        <v>56</v>
      </c>
      <c r="AQ57" s="75">
        <v>1.46</v>
      </c>
      <c r="AR57" s="72">
        <f t="shared" si="0"/>
        <v>1.4406000000000001</v>
      </c>
      <c r="AS57" s="72">
        <f t="shared" si="1"/>
        <v>1.9399999999999862E-2</v>
      </c>
      <c r="AU57" s="74"/>
      <c r="AV57" s="72">
        <v>75</v>
      </c>
      <c r="BN57" s="72">
        <v>1018.2</v>
      </c>
      <c r="BO57" s="72">
        <v>26.900173913043474</v>
      </c>
      <c r="BP57" s="72">
        <v>26.9895</v>
      </c>
      <c r="BQ57" s="72">
        <v>35.574769230769228</v>
      </c>
      <c r="BR57" s="72">
        <v>35.687137254901955</v>
      </c>
    </row>
    <row r="58" spans="13:70">
      <c r="M58" s="72">
        <v>57</v>
      </c>
      <c r="O58" s="77">
        <v>93.119</v>
      </c>
      <c r="P58" s="76">
        <v>1.27</v>
      </c>
      <c r="Q58" s="75">
        <v>1.39</v>
      </c>
      <c r="R58" s="76">
        <v>1.27</v>
      </c>
      <c r="S58" s="75">
        <v>1.35</v>
      </c>
      <c r="T58" s="76">
        <v>0.99</v>
      </c>
      <c r="U58" s="76">
        <v>1.19</v>
      </c>
      <c r="V58" s="76">
        <v>1.31</v>
      </c>
      <c r="W58" s="77">
        <v>8.9999999999999993E-3</v>
      </c>
      <c r="X58" s="77"/>
      <c r="Y58" s="76">
        <v>1.17</v>
      </c>
      <c r="Z58" s="76">
        <v>1.18</v>
      </c>
      <c r="AA58" s="76">
        <v>1.27</v>
      </c>
      <c r="AB58" s="75">
        <v>1.1000000000000001</v>
      </c>
      <c r="AC58" s="75">
        <v>1.21</v>
      </c>
      <c r="AD58" s="75">
        <v>1.23</v>
      </c>
      <c r="AE58" s="77"/>
      <c r="AF58" s="77"/>
      <c r="AG58" s="77"/>
      <c r="AH58" s="75">
        <v>1.96</v>
      </c>
      <c r="AI58" s="77"/>
      <c r="AJ58" s="76">
        <v>1.43</v>
      </c>
      <c r="AP58" s="72">
        <v>57</v>
      </c>
      <c r="AQ58" s="76">
        <v>1.43</v>
      </c>
      <c r="AR58" s="72">
        <f t="shared" si="0"/>
        <v>1.4406000000000001</v>
      </c>
      <c r="AS58" s="72">
        <f t="shared" si="1"/>
        <v>-1.0600000000000165E-2</v>
      </c>
      <c r="AU58" s="74"/>
      <c r="AV58" s="72">
        <v>76</v>
      </c>
      <c r="BN58" s="72">
        <v>1018.0807843137258</v>
      </c>
      <c r="BO58" s="72">
        <v>26.9327826086957</v>
      </c>
      <c r="BP58" s="72">
        <v>27.027999999999999</v>
      </c>
      <c r="BQ58" s="72">
        <v>35.675538461538466</v>
      </c>
      <c r="BR58" s="72">
        <v>35.695764705882347</v>
      </c>
    </row>
    <row r="59" spans="13:70">
      <c r="M59" s="72">
        <v>58</v>
      </c>
      <c r="O59" s="77">
        <v>93.116</v>
      </c>
      <c r="P59" s="75">
        <v>1.32</v>
      </c>
      <c r="Q59" s="76">
        <v>1.34</v>
      </c>
      <c r="R59" s="75">
        <v>1.31</v>
      </c>
      <c r="S59" s="75">
        <v>1.38</v>
      </c>
      <c r="T59" s="75">
        <v>1.02</v>
      </c>
      <c r="U59" s="75">
        <v>1.22</v>
      </c>
      <c r="V59" s="75">
        <v>1.37</v>
      </c>
      <c r="W59" s="77">
        <v>6.0000000000000001E-3</v>
      </c>
      <c r="X59" s="77"/>
      <c r="Y59" s="75">
        <v>1.2</v>
      </c>
      <c r="Z59" s="75">
        <v>1.25</v>
      </c>
      <c r="AA59" s="75">
        <v>1.31</v>
      </c>
      <c r="AB59" s="75">
        <v>1.0900000000000001</v>
      </c>
      <c r="AC59" s="75">
        <v>1.2</v>
      </c>
      <c r="AD59" s="75">
        <v>1.18</v>
      </c>
      <c r="AE59" s="77"/>
      <c r="AF59" s="77"/>
      <c r="AG59" s="77"/>
      <c r="AH59" s="75">
        <v>1.95</v>
      </c>
      <c r="AI59" s="77"/>
      <c r="AJ59" s="76">
        <v>1.43</v>
      </c>
      <c r="AP59" s="72">
        <v>58</v>
      </c>
      <c r="AQ59" s="76">
        <v>1.43</v>
      </c>
      <c r="AR59" s="72">
        <f t="shared" si="0"/>
        <v>1.4406000000000001</v>
      </c>
      <c r="AS59" s="72">
        <f t="shared" si="1"/>
        <v>-1.0600000000000165E-2</v>
      </c>
      <c r="AU59" s="74"/>
      <c r="AV59" s="72">
        <v>77</v>
      </c>
      <c r="BN59" s="72">
        <v>1015.2</v>
      </c>
      <c r="BO59" s="72">
        <v>26.918869565217388</v>
      </c>
      <c r="BP59" s="72">
        <v>27.04975</v>
      </c>
      <c r="BQ59" s="72">
        <v>35.559769230769227</v>
      </c>
      <c r="BR59" s="72">
        <v>35.693411764705878</v>
      </c>
    </row>
    <row r="60" spans="13:70">
      <c r="M60" s="72">
        <v>59</v>
      </c>
      <c r="O60" s="77">
        <v>93.031000000000006</v>
      </c>
      <c r="P60" s="75">
        <v>1.31</v>
      </c>
      <c r="Q60" s="76">
        <v>1.32</v>
      </c>
      <c r="R60" s="75">
        <v>1.33</v>
      </c>
      <c r="S60" s="75">
        <v>1.34</v>
      </c>
      <c r="T60" s="76">
        <v>0.99</v>
      </c>
      <c r="U60" s="76">
        <v>1.1599999999999999</v>
      </c>
      <c r="V60" s="75">
        <v>1.34</v>
      </c>
      <c r="W60" s="77">
        <v>1E-3</v>
      </c>
      <c r="X60" s="77"/>
      <c r="Y60" s="75">
        <v>1.22</v>
      </c>
      <c r="Z60" s="76">
        <v>1.18</v>
      </c>
      <c r="AA60" s="76">
        <v>1.26</v>
      </c>
      <c r="AB60" s="75">
        <v>1.18</v>
      </c>
      <c r="AC60" s="75">
        <v>1.19</v>
      </c>
      <c r="AD60" s="75">
        <v>1.18</v>
      </c>
      <c r="AE60" s="77"/>
      <c r="AF60" s="77"/>
      <c r="AG60" s="77"/>
      <c r="AH60" s="75">
        <v>1.98</v>
      </c>
      <c r="AI60" s="77"/>
      <c r="AJ60" s="75">
        <v>1.45</v>
      </c>
      <c r="AP60" s="72">
        <v>59</v>
      </c>
      <c r="AQ60" s="75">
        <v>1.45</v>
      </c>
      <c r="AR60" s="72">
        <f t="shared" si="0"/>
        <v>1.4406000000000001</v>
      </c>
      <c r="AS60" s="72">
        <f t="shared" si="1"/>
        <v>9.3999999999998529E-3</v>
      </c>
      <c r="AU60" s="74"/>
      <c r="AV60" s="72">
        <v>78</v>
      </c>
      <c r="BN60" s="72">
        <v>1016.6807843137256</v>
      </c>
      <c r="BO60" s="72">
        <v>26.924086956521737</v>
      </c>
      <c r="BP60" s="72">
        <v>27.017250000000001</v>
      </c>
      <c r="BQ60" s="72">
        <v>35.605923076923077</v>
      </c>
      <c r="BR60" s="72">
        <v>35.672235294117648</v>
      </c>
    </row>
    <row r="61" spans="13:70">
      <c r="M61" s="72">
        <v>60</v>
      </c>
      <c r="O61" s="77">
        <v>93.028999999999996</v>
      </c>
      <c r="P61" s="76">
        <v>1.28</v>
      </c>
      <c r="Q61" s="75">
        <v>1.37</v>
      </c>
      <c r="R61" s="76">
        <v>1.29</v>
      </c>
      <c r="S61" s="76">
        <v>1.32</v>
      </c>
      <c r="T61" s="76">
        <v>0.98</v>
      </c>
      <c r="U61" s="75">
        <v>1.23</v>
      </c>
      <c r="V61" s="75">
        <v>1.35</v>
      </c>
      <c r="W61" s="77">
        <v>8.9999999999999993E-3</v>
      </c>
      <c r="X61" s="77"/>
      <c r="Y61" s="76">
        <v>1.18</v>
      </c>
      <c r="Z61" s="75">
        <v>1.25</v>
      </c>
      <c r="AA61" s="75">
        <v>1.28</v>
      </c>
      <c r="AB61" s="75">
        <v>1.1399999999999999</v>
      </c>
      <c r="AC61" s="75">
        <v>1.23</v>
      </c>
      <c r="AD61" s="75">
        <v>1.23</v>
      </c>
      <c r="AE61" s="77"/>
      <c r="AF61" s="77"/>
      <c r="AG61" s="77"/>
      <c r="AH61" s="75">
        <v>1.94</v>
      </c>
      <c r="AI61" s="77"/>
      <c r="AJ61" s="76">
        <v>1.43</v>
      </c>
      <c r="AP61" s="72">
        <v>60</v>
      </c>
      <c r="AQ61" s="76">
        <v>1.43</v>
      </c>
      <c r="AR61" s="72">
        <f t="shared" si="0"/>
        <v>1.4406000000000001</v>
      </c>
      <c r="AS61" s="72">
        <f t="shared" si="1"/>
        <v>-1.0600000000000165E-2</v>
      </c>
      <c r="AU61" s="74"/>
      <c r="AV61" s="72">
        <v>79</v>
      </c>
      <c r="BN61" s="72">
        <v>1016.9415686274513</v>
      </c>
      <c r="BO61" s="72">
        <v>26.981913043478258</v>
      </c>
      <c r="BP61" s="72">
        <v>27.043749999999999</v>
      </c>
      <c r="BQ61" s="72">
        <v>35.600153846153844</v>
      </c>
      <c r="BR61" s="72">
        <v>35.682235294117646</v>
      </c>
    </row>
    <row r="62" spans="13:70">
      <c r="M62" s="72">
        <v>61</v>
      </c>
      <c r="O62" s="77">
        <v>93.206000000000003</v>
      </c>
      <c r="P62" s="76">
        <v>1.26</v>
      </c>
      <c r="Q62" s="76">
        <v>1.33</v>
      </c>
      <c r="R62" s="76">
        <v>1.25</v>
      </c>
      <c r="S62" s="76">
        <v>1.32</v>
      </c>
      <c r="T62" s="75">
        <v>1</v>
      </c>
      <c r="U62" s="75">
        <v>1.23</v>
      </c>
      <c r="V62" s="76">
        <v>1.29</v>
      </c>
      <c r="W62" s="77">
        <v>6.0000000000000001E-3</v>
      </c>
      <c r="X62" s="77"/>
      <c r="Y62" s="76">
        <v>1.17</v>
      </c>
      <c r="Z62" s="76">
        <v>1.18</v>
      </c>
      <c r="AA62" s="75">
        <v>1.3</v>
      </c>
      <c r="AB62" s="75">
        <v>1.18</v>
      </c>
      <c r="AC62" s="75">
        <v>1.25</v>
      </c>
      <c r="AD62" s="75">
        <v>1.1499999999999999</v>
      </c>
      <c r="AE62" s="77"/>
      <c r="AF62" s="77"/>
      <c r="AG62" s="77"/>
      <c r="AH62" s="75">
        <v>1.97</v>
      </c>
      <c r="AI62" s="77"/>
      <c r="AJ62" s="76">
        <v>1.42</v>
      </c>
      <c r="AP62" s="72">
        <v>61</v>
      </c>
      <c r="AQ62" s="76">
        <v>1.42</v>
      </c>
      <c r="AR62" s="72">
        <f t="shared" si="0"/>
        <v>1.4406000000000001</v>
      </c>
      <c r="AS62" s="72">
        <f t="shared" si="1"/>
        <v>-2.0600000000000174E-2</v>
      </c>
      <c r="AU62" s="74"/>
      <c r="AV62" s="72">
        <v>80</v>
      </c>
      <c r="BN62" s="72">
        <v>1018.5062745098044</v>
      </c>
      <c r="BO62" s="72">
        <v>26.9327826086957</v>
      </c>
      <c r="BP62" s="72">
        <v>26.975000000000001</v>
      </c>
      <c r="BQ62" s="72">
        <v>35.507461538461541</v>
      </c>
      <c r="BR62" s="72">
        <v>35.737333333333332</v>
      </c>
    </row>
    <row r="63" spans="13:70">
      <c r="M63" s="72">
        <v>62</v>
      </c>
      <c r="O63" s="77">
        <v>93.007999999999996</v>
      </c>
      <c r="P63" s="75">
        <v>1.29</v>
      </c>
      <c r="Q63" s="75">
        <v>1.39</v>
      </c>
      <c r="R63" s="76">
        <v>1.28</v>
      </c>
      <c r="S63" s="75">
        <v>1.36</v>
      </c>
      <c r="T63" s="76">
        <v>0.99</v>
      </c>
      <c r="U63" s="76">
        <v>1.2</v>
      </c>
      <c r="V63" s="75">
        <v>1.39</v>
      </c>
      <c r="W63" s="77">
        <v>8.0000000000000002E-3</v>
      </c>
      <c r="X63" s="77"/>
      <c r="Y63" s="75">
        <v>1.21</v>
      </c>
      <c r="Z63" s="75">
        <v>1.25</v>
      </c>
      <c r="AA63" s="75">
        <v>1.28</v>
      </c>
      <c r="AB63" s="75">
        <v>1.1100000000000001</v>
      </c>
      <c r="AC63" s="75">
        <v>1.24</v>
      </c>
      <c r="AD63" s="75">
        <v>1.1599999999999999</v>
      </c>
      <c r="AE63" s="77"/>
      <c r="AF63" s="77"/>
      <c r="AG63" s="77"/>
      <c r="AH63" s="75">
        <v>1.95</v>
      </c>
      <c r="AI63" s="77"/>
      <c r="AJ63" s="76">
        <v>1.44</v>
      </c>
      <c r="AP63" s="72">
        <v>62</v>
      </c>
      <c r="AQ63" s="75">
        <v>1.45</v>
      </c>
      <c r="AR63" s="72">
        <f t="shared" si="0"/>
        <v>1.4406000000000001</v>
      </c>
      <c r="AS63" s="72">
        <f t="shared" si="1"/>
        <v>9.3999999999998529E-3</v>
      </c>
      <c r="AU63" s="74"/>
      <c r="AV63" s="72">
        <v>81</v>
      </c>
      <c r="BN63" s="72">
        <v>1016.1043137254903</v>
      </c>
      <c r="BO63" s="72">
        <v>26.854956521739101</v>
      </c>
      <c r="BP63" s="72">
        <v>27.045749999999998</v>
      </c>
      <c r="BQ63" s="72">
        <v>35.600153846153844</v>
      </c>
      <c r="BR63" s="72">
        <v>35.690666666666665</v>
      </c>
    </row>
    <row r="64" spans="13:70">
      <c r="M64" s="72">
        <v>63</v>
      </c>
      <c r="O64" s="77">
        <v>93.073999999999998</v>
      </c>
      <c r="P64" s="76">
        <v>1.26</v>
      </c>
      <c r="Q64" s="76">
        <v>1.35</v>
      </c>
      <c r="R64" s="75">
        <v>1.33</v>
      </c>
      <c r="S64" s="76">
        <v>1.32</v>
      </c>
      <c r="T64" s="75">
        <v>1.02</v>
      </c>
      <c r="U64" s="75">
        <v>1.24</v>
      </c>
      <c r="V64" s="76">
        <v>1.31</v>
      </c>
      <c r="W64" s="77">
        <v>4.0000000000000001E-3</v>
      </c>
      <c r="X64" s="77"/>
      <c r="Y64" s="76">
        <v>1.1599999999999999</v>
      </c>
      <c r="Z64" s="75">
        <v>1.26</v>
      </c>
      <c r="AA64" s="76">
        <v>1.26</v>
      </c>
      <c r="AB64" s="75">
        <v>1.18</v>
      </c>
      <c r="AC64" s="75">
        <v>1.25</v>
      </c>
      <c r="AD64" s="75">
        <v>1.1599999999999999</v>
      </c>
      <c r="AE64" s="77"/>
      <c r="AF64" s="77"/>
      <c r="AG64" s="77"/>
      <c r="AH64" s="75">
        <v>1.94</v>
      </c>
      <c r="AI64" s="77"/>
      <c r="AJ64" s="75">
        <v>1.46</v>
      </c>
      <c r="AP64" s="72">
        <v>63</v>
      </c>
      <c r="AQ64" s="75">
        <v>1.46</v>
      </c>
      <c r="AR64" s="72">
        <f t="shared" si="0"/>
        <v>1.4406000000000001</v>
      </c>
      <c r="AS64" s="72">
        <f t="shared" si="1"/>
        <v>1.9399999999999862E-2</v>
      </c>
      <c r="AU64" s="74"/>
      <c r="AV64" s="72">
        <v>82</v>
      </c>
      <c r="BN64" s="72">
        <v>1018.0945098039218</v>
      </c>
      <c r="BO64" s="72">
        <v>26.966260869565215</v>
      </c>
      <c r="BP64" s="72">
        <v>27.045999999999999</v>
      </c>
      <c r="BQ64" s="72">
        <v>35.675538461538466</v>
      </c>
      <c r="BR64" s="72">
        <v>35.678313725490192</v>
      </c>
    </row>
    <row r="65" spans="13:70">
      <c r="M65" s="72">
        <v>64</v>
      </c>
      <c r="O65" s="77">
        <v>93.149000000000001</v>
      </c>
      <c r="P65" s="75">
        <v>1.31</v>
      </c>
      <c r="Q65" s="76">
        <v>1.32</v>
      </c>
      <c r="R65" s="76">
        <v>1.3</v>
      </c>
      <c r="S65" s="75">
        <v>1.37</v>
      </c>
      <c r="T65" s="75">
        <v>1</v>
      </c>
      <c r="U65" s="76">
        <v>1.19</v>
      </c>
      <c r="V65" s="76">
        <v>1.32</v>
      </c>
      <c r="W65" s="77">
        <v>8.9999999999999993E-3</v>
      </c>
      <c r="X65" s="77"/>
      <c r="Y65" s="75">
        <v>1.2</v>
      </c>
      <c r="Z65" s="76">
        <v>1.22</v>
      </c>
      <c r="AA65" s="75">
        <v>1.28</v>
      </c>
      <c r="AB65" s="75">
        <v>1.1499999999999999</v>
      </c>
      <c r="AC65" s="75">
        <v>1.17</v>
      </c>
      <c r="AD65" s="75">
        <v>1.1399999999999999</v>
      </c>
      <c r="AE65" s="77"/>
      <c r="AF65" s="77"/>
      <c r="AG65" s="77"/>
      <c r="AH65" s="75">
        <v>1.95</v>
      </c>
      <c r="AI65" s="77"/>
      <c r="AJ65" s="76">
        <v>1.43</v>
      </c>
      <c r="AP65" s="72">
        <v>64</v>
      </c>
      <c r="AQ65" s="76">
        <v>1.43</v>
      </c>
      <c r="AR65" s="72">
        <f t="shared" si="0"/>
        <v>1.4406000000000001</v>
      </c>
      <c r="AS65" s="72">
        <f t="shared" si="1"/>
        <v>-1.0600000000000165E-2</v>
      </c>
      <c r="AU65" s="74"/>
      <c r="AV65" s="72">
        <v>83</v>
      </c>
      <c r="BN65" s="72">
        <v>1016.0082352941179</v>
      </c>
      <c r="BO65" s="72">
        <v>26.931478260869561</v>
      </c>
      <c r="BP65" s="72">
        <v>27.056999999999999</v>
      </c>
      <c r="BQ65" s="72">
        <v>35.565923076923077</v>
      </c>
      <c r="BR65" s="72">
        <v>35.66635294117647</v>
      </c>
    </row>
    <row r="66" spans="13:70">
      <c r="M66" s="72">
        <v>65</v>
      </c>
      <c r="O66" s="77">
        <v>93.081000000000003</v>
      </c>
      <c r="P66" s="76">
        <v>1.25</v>
      </c>
      <c r="Q66" s="76">
        <v>1.35</v>
      </c>
      <c r="R66" s="76">
        <v>1.28</v>
      </c>
      <c r="S66" s="75">
        <v>1.36</v>
      </c>
      <c r="T66" s="76">
        <v>0.97</v>
      </c>
      <c r="U66" s="76">
        <v>1.19</v>
      </c>
      <c r="V66" s="75">
        <v>1.34</v>
      </c>
      <c r="W66" s="77">
        <v>1E-3</v>
      </c>
      <c r="X66" s="77"/>
      <c r="Y66" s="76">
        <v>1.1599999999999999</v>
      </c>
      <c r="Z66" s="75">
        <v>1.25</v>
      </c>
      <c r="AA66" s="75">
        <v>1.29</v>
      </c>
      <c r="AB66" s="75">
        <v>1.1499999999999999</v>
      </c>
      <c r="AC66" s="75">
        <v>1.22</v>
      </c>
      <c r="AD66" s="75">
        <v>1.19</v>
      </c>
      <c r="AE66" s="77"/>
      <c r="AF66" s="77"/>
      <c r="AG66" s="77"/>
      <c r="AH66" s="75">
        <v>1.95</v>
      </c>
      <c r="AI66" s="77"/>
      <c r="AJ66" s="76">
        <v>1.43</v>
      </c>
      <c r="AP66" s="72">
        <v>65</v>
      </c>
      <c r="AQ66" s="76">
        <v>1.43</v>
      </c>
      <c r="AR66" s="72">
        <f t="shared" si="0"/>
        <v>1.4406000000000001</v>
      </c>
      <c r="AS66" s="72">
        <f t="shared" si="1"/>
        <v>-1.0600000000000165E-2</v>
      </c>
      <c r="AU66" s="74"/>
      <c r="AV66" s="72">
        <v>84</v>
      </c>
      <c r="BN66" s="72">
        <v>1017.298431372549</v>
      </c>
      <c r="BO66" s="72">
        <v>26.941913043478259</v>
      </c>
      <c r="BP66" s="72">
        <v>27.053999999999998</v>
      </c>
      <c r="BQ66" s="72">
        <v>35.606307692307695</v>
      </c>
      <c r="BR66" s="72">
        <v>35.676352941176468</v>
      </c>
    </row>
    <row r="67" spans="13:70">
      <c r="M67" s="72">
        <v>66</v>
      </c>
      <c r="O67" s="77">
        <v>93.058999999999997</v>
      </c>
      <c r="P67" s="75">
        <v>1.3</v>
      </c>
      <c r="Q67" s="75">
        <v>1.37</v>
      </c>
      <c r="R67" s="75">
        <v>1.33</v>
      </c>
      <c r="S67" s="75">
        <v>1.34</v>
      </c>
      <c r="T67" s="76">
        <v>0.97</v>
      </c>
      <c r="U67" s="75">
        <v>1.24</v>
      </c>
      <c r="V67" s="75">
        <v>1.34</v>
      </c>
      <c r="W67" s="77">
        <v>8.9999999999999993E-3</v>
      </c>
      <c r="X67" s="77"/>
      <c r="Y67" s="76">
        <v>1.17</v>
      </c>
      <c r="Z67" s="76">
        <v>1.18</v>
      </c>
      <c r="AA67" s="76">
        <v>1.24</v>
      </c>
      <c r="AB67" s="75">
        <v>1.18</v>
      </c>
      <c r="AC67" s="75">
        <v>1.18</v>
      </c>
      <c r="AD67" s="75">
        <v>1.2</v>
      </c>
      <c r="AE67" s="77"/>
      <c r="AF67" s="77"/>
      <c r="AG67" s="77"/>
      <c r="AH67" s="75">
        <v>1.96</v>
      </c>
      <c r="AI67" s="77"/>
      <c r="AJ67" s="75">
        <v>1.45</v>
      </c>
      <c r="AP67" s="72">
        <v>66</v>
      </c>
      <c r="AQ67" s="76">
        <v>1.44</v>
      </c>
      <c r="AR67" s="72">
        <f t="shared" ref="AR67:AR126" si="7">AR66</f>
        <v>1.4406000000000001</v>
      </c>
      <c r="AS67" s="72">
        <f t="shared" ref="AS67:AS126" si="8">AQ67-AR67</f>
        <v>-6.0000000000015596E-4</v>
      </c>
      <c r="AU67" s="74"/>
      <c r="AV67" s="72">
        <v>85</v>
      </c>
      <c r="BN67" s="72">
        <v>1016.0768627450982</v>
      </c>
      <c r="BO67" s="72">
        <v>26.989304347826089</v>
      </c>
      <c r="BP67" s="72">
        <v>27.027000000000001</v>
      </c>
      <c r="BQ67" s="72">
        <v>35.563230769230771</v>
      </c>
      <c r="BR67" s="72">
        <v>35.725568627450983</v>
      </c>
    </row>
    <row r="68" spans="13:70">
      <c r="M68" s="72">
        <v>67</v>
      </c>
      <c r="O68" s="77">
        <v>93.123000000000005</v>
      </c>
      <c r="P68" s="76">
        <v>1.26</v>
      </c>
      <c r="Q68" s="76">
        <v>1.35</v>
      </c>
      <c r="R68" s="76">
        <v>1.26</v>
      </c>
      <c r="S68" s="75">
        <v>1.38</v>
      </c>
      <c r="T68" s="75">
        <v>1.01</v>
      </c>
      <c r="U68" s="76">
        <v>1.18</v>
      </c>
      <c r="V68" s="76">
        <v>1.3</v>
      </c>
      <c r="W68" s="77">
        <v>3.0000000000000001E-3</v>
      </c>
      <c r="X68" s="77"/>
      <c r="Y68" s="75">
        <v>1.2</v>
      </c>
      <c r="Z68" s="75">
        <v>1.23</v>
      </c>
      <c r="AA68" s="75">
        <v>1.28</v>
      </c>
      <c r="AB68" s="75">
        <v>1.17</v>
      </c>
      <c r="AC68" s="75">
        <v>1.2</v>
      </c>
      <c r="AD68" s="75">
        <v>1.2</v>
      </c>
      <c r="AE68" s="77"/>
      <c r="AF68" s="77"/>
      <c r="AG68" s="77"/>
      <c r="AH68" s="75">
        <v>1.94</v>
      </c>
      <c r="AI68" s="77"/>
      <c r="AJ68" s="76">
        <v>1.45</v>
      </c>
      <c r="AP68" s="72">
        <v>67</v>
      </c>
      <c r="AQ68" s="76">
        <v>1.42</v>
      </c>
      <c r="AR68" s="72">
        <f t="shared" si="7"/>
        <v>1.4406000000000001</v>
      </c>
      <c r="AS68" s="72">
        <f t="shared" si="8"/>
        <v>-2.0600000000000174E-2</v>
      </c>
      <c r="AU68" s="74"/>
      <c r="AV68" s="72">
        <v>86</v>
      </c>
      <c r="BN68" s="72">
        <v>1015.0337254901962</v>
      </c>
      <c r="BO68" s="72">
        <v>26.881043478260871</v>
      </c>
      <c r="BP68" s="72">
        <v>27.039750000000002</v>
      </c>
      <c r="BQ68" s="72">
        <v>35.570153846153843</v>
      </c>
      <c r="BR68" s="72">
        <v>35.67654901960784</v>
      </c>
    </row>
    <row r="69" spans="13:70">
      <c r="M69" s="72">
        <v>68</v>
      </c>
      <c r="O69" s="77">
        <v>93.084000000000003</v>
      </c>
      <c r="P69" s="75">
        <v>1.29</v>
      </c>
      <c r="Q69" s="76">
        <v>1.33</v>
      </c>
      <c r="R69" s="76">
        <v>1.29</v>
      </c>
      <c r="S69" s="76">
        <v>1.33</v>
      </c>
      <c r="T69" s="76">
        <v>0.99</v>
      </c>
      <c r="U69" s="75">
        <v>1.24</v>
      </c>
      <c r="V69" s="76">
        <v>1.29</v>
      </c>
      <c r="W69" s="77">
        <v>4.0000000000000001E-3</v>
      </c>
      <c r="X69" s="77"/>
      <c r="Y69" s="76">
        <v>1.19</v>
      </c>
      <c r="Z69" s="76">
        <v>1.18</v>
      </c>
      <c r="AA69" s="76">
        <v>1.26</v>
      </c>
      <c r="AB69" s="75">
        <v>1.1100000000000001</v>
      </c>
      <c r="AC69" s="75">
        <v>1.21</v>
      </c>
      <c r="AD69" s="75">
        <v>1.1399999999999999</v>
      </c>
      <c r="AE69" s="77"/>
      <c r="AF69" s="77"/>
      <c r="AG69" s="77"/>
      <c r="AH69" s="75">
        <v>1.96</v>
      </c>
      <c r="AI69" s="77"/>
      <c r="AJ69" s="76">
        <v>1.44</v>
      </c>
      <c r="AP69" s="72">
        <v>68</v>
      </c>
      <c r="AQ69" s="76">
        <v>1.42</v>
      </c>
      <c r="AR69" s="72">
        <f t="shared" si="7"/>
        <v>1.4406000000000001</v>
      </c>
      <c r="AS69" s="72">
        <f t="shared" si="8"/>
        <v>-2.0600000000000174E-2</v>
      </c>
      <c r="AU69" s="74"/>
      <c r="AV69" s="72">
        <v>87</v>
      </c>
      <c r="BN69" s="72">
        <v>1015.8572549019606</v>
      </c>
      <c r="BO69" s="72">
        <v>26.9327826086957</v>
      </c>
      <c r="BP69" s="72">
        <v>27.110000000000003</v>
      </c>
      <c r="BQ69" s="72">
        <v>35.543999999999997</v>
      </c>
      <c r="BR69" s="72">
        <v>35.691450980392155</v>
      </c>
    </row>
    <row r="70" spans="13:70">
      <c r="M70" s="72">
        <v>69</v>
      </c>
      <c r="O70" s="77">
        <v>93.147999999999996</v>
      </c>
      <c r="P70" s="75">
        <v>1.32</v>
      </c>
      <c r="Q70" s="76">
        <v>1.32</v>
      </c>
      <c r="R70" s="75">
        <v>1.31</v>
      </c>
      <c r="S70" s="76">
        <v>1.33</v>
      </c>
      <c r="T70" s="75">
        <v>1.02</v>
      </c>
      <c r="U70" s="76">
        <v>1.19</v>
      </c>
      <c r="V70" s="75">
        <v>1.34</v>
      </c>
      <c r="W70" s="77">
        <v>8.0000000000000002E-3</v>
      </c>
      <c r="X70" s="77"/>
      <c r="Y70" s="76">
        <v>1.18</v>
      </c>
      <c r="Z70" s="75">
        <v>1.24</v>
      </c>
      <c r="AA70" s="75">
        <v>1.29</v>
      </c>
      <c r="AB70" s="75">
        <v>1.1499999999999999</v>
      </c>
      <c r="AC70" s="75">
        <v>1.25</v>
      </c>
      <c r="AD70" s="75">
        <v>1.18</v>
      </c>
      <c r="AE70" s="77"/>
      <c r="AF70" s="77"/>
      <c r="AG70" s="77"/>
      <c r="AH70" s="75">
        <v>1.96</v>
      </c>
      <c r="AI70" s="77"/>
      <c r="AJ70" s="75">
        <v>1.46</v>
      </c>
      <c r="AP70" s="72">
        <v>69</v>
      </c>
      <c r="AQ70" s="75">
        <v>1.46</v>
      </c>
      <c r="AR70" s="72">
        <f t="shared" si="7"/>
        <v>1.4406000000000001</v>
      </c>
      <c r="AS70" s="72">
        <f t="shared" si="8"/>
        <v>1.9399999999999862E-2</v>
      </c>
      <c r="AU70" s="74"/>
      <c r="AV70" s="72">
        <v>88</v>
      </c>
      <c r="BN70" s="72">
        <v>1017.394509803922</v>
      </c>
      <c r="BO70" s="72">
        <v>26.942782608695655</v>
      </c>
      <c r="BP70" s="72">
        <v>27.0505</v>
      </c>
      <c r="BQ70" s="72">
        <v>35.601692307692311</v>
      </c>
      <c r="BR70" s="72">
        <v>35.689294117647059</v>
      </c>
    </row>
    <row r="71" spans="13:70">
      <c r="M71" s="72">
        <v>70</v>
      </c>
      <c r="O71" s="77">
        <v>93.149000000000001</v>
      </c>
      <c r="P71" s="76">
        <v>1.27</v>
      </c>
      <c r="Q71" s="76">
        <v>1.32</v>
      </c>
      <c r="R71" s="76">
        <v>1.3</v>
      </c>
      <c r="S71" s="75">
        <v>1.36</v>
      </c>
      <c r="T71" s="76">
        <v>0.99</v>
      </c>
      <c r="U71" s="75">
        <v>1.22</v>
      </c>
      <c r="V71" s="76">
        <v>1.31</v>
      </c>
      <c r="W71" s="77">
        <v>8.9999999999999993E-3</v>
      </c>
      <c r="X71" s="77"/>
      <c r="Y71" s="75">
        <v>1.2</v>
      </c>
      <c r="Z71" s="76">
        <v>1.2</v>
      </c>
      <c r="AA71" s="76">
        <v>1.26</v>
      </c>
      <c r="AB71" s="75">
        <v>1.1100000000000001</v>
      </c>
      <c r="AC71" s="75">
        <v>1.22</v>
      </c>
      <c r="AD71" s="75">
        <v>1.1499999999999999</v>
      </c>
      <c r="AE71" s="77"/>
      <c r="AF71" s="77"/>
      <c r="AG71" s="77"/>
      <c r="AH71" s="75">
        <v>1.96</v>
      </c>
      <c r="AI71" s="77"/>
      <c r="AJ71" s="76">
        <v>1.43</v>
      </c>
      <c r="AP71" s="72">
        <v>70</v>
      </c>
      <c r="AQ71" s="76">
        <v>1.43</v>
      </c>
      <c r="AR71" s="72">
        <f t="shared" si="7"/>
        <v>1.4406000000000001</v>
      </c>
      <c r="AS71" s="72">
        <f t="shared" si="8"/>
        <v>-1.0600000000000165E-2</v>
      </c>
      <c r="AU71" s="74"/>
      <c r="AV71" s="72">
        <v>89</v>
      </c>
      <c r="BN71" s="72">
        <v>1017.1474509803923</v>
      </c>
      <c r="BO71" s="72">
        <v>26.898434782608696</v>
      </c>
      <c r="BP71" s="72">
        <v>27.034749999999999</v>
      </c>
      <c r="BQ71" s="72">
        <v>35.524000000000001</v>
      </c>
      <c r="BR71" s="72">
        <v>35.676745098039213</v>
      </c>
    </row>
    <row r="72" spans="13:70">
      <c r="M72" s="72">
        <v>71</v>
      </c>
      <c r="O72" s="77">
        <v>93.061000000000007</v>
      </c>
      <c r="P72" s="75">
        <v>1.31</v>
      </c>
      <c r="Q72" s="75">
        <v>1.39</v>
      </c>
      <c r="R72" s="75">
        <v>1.34</v>
      </c>
      <c r="S72" s="76">
        <v>1.32</v>
      </c>
      <c r="T72" s="75">
        <v>1.04</v>
      </c>
      <c r="U72" s="75">
        <v>1.21</v>
      </c>
      <c r="V72" s="75">
        <v>1.34</v>
      </c>
      <c r="W72" s="77">
        <v>1E-3</v>
      </c>
      <c r="X72" s="77"/>
      <c r="Y72" s="76">
        <v>1.1599999999999999</v>
      </c>
      <c r="Z72" s="76">
        <v>1.22</v>
      </c>
      <c r="AA72" s="75">
        <v>1.28</v>
      </c>
      <c r="AB72" s="75">
        <v>1.1100000000000001</v>
      </c>
      <c r="AC72" s="75">
        <v>1.25</v>
      </c>
      <c r="AD72" s="75">
        <v>1.19</v>
      </c>
      <c r="AE72" s="77"/>
      <c r="AF72" s="77"/>
      <c r="AG72" s="77"/>
      <c r="AH72" s="75">
        <v>1.96</v>
      </c>
      <c r="AI72" s="77"/>
      <c r="AJ72" s="76">
        <v>1.43</v>
      </c>
      <c r="AP72" s="72">
        <v>71</v>
      </c>
      <c r="AQ72" s="76">
        <v>1.43</v>
      </c>
      <c r="AR72" s="72">
        <f t="shared" si="7"/>
        <v>1.4406000000000001</v>
      </c>
      <c r="AS72" s="72">
        <f t="shared" si="8"/>
        <v>-1.0600000000000165E-2</v>
      </c>
      <c r="AU72" s="74"/>
      <c r="AV72" s="72">
        <v>90</v>
      </c>
      <c r="BN72" s="72">
        <v>1016.4886274509806</v>
      </c>
      <c r="BO72" s="72">
        <v>26.953217391304342</v>
      </c>
      <c r="BP72" s="72">
        <v>27.019500000000001</v>
      </c>
      <c r="BQ72" s="72">
        <v>35.490923076923082</v>
      </c>
      <c r="BR72" s="72">
        <v>35.713803921568626</v>
      </c>
    </row>
    <row r="73" spans="13:70">
      <c r="M73" s="72">
        <v>72</v>
      </c>
      <c r="O73" s="77">
        <v>93.108999999999995</v>
      </c>
      <c r="P73" s="76">
        <v>1.23</v>
      </c>
      <c r="Q73" s="76">
        <v>1.35</v>
      </c>
      <c r="R73" s="75">
        <v>1.31</v>
      </c>
      <c r="S73" s="75">
        <v>1.38</v>
      </c>
      <c r="T73" s="76">
        <v>0.98</v>
      </c>
      <c r="U73" s="76">
        <v>1.1599999999999999</v>
      </c>
      <c r="V73" s="75">
        <v>1.38</v>
      </c>
      <c r="W73" s="77">
        <v>8.9999999999999993E-3</v>
      </c>
      <c r="X73" s="77"/>
      <c r="Y73" s="76">
        <v>1.1599999999999999</v>
      </c>
      <c r="Z73" s="75">
        <v>1.23</v>
      </c>
      <c r="AA73" s="75">
        <v>1.32</v>
      </c>
      <c r="AB73" s="75">
        <v>1.1100000000000001</v>
      </c>
      <c r="AC73" s="75">
        <v>1.19</v>
      </c>
      <c r="AD73" s="75">
        <v>1.18</v>
      </c>
      <c r="AE73" s="77"/>
      <c r="AF73" s="77"/>
      <c r="AG73" s="77"/>
      <c r="AH73" s="75">
        <v>1.96</v>
      </c>
      <c r="AI73" s="77"/>
      <c r="AJ73" s="76">
        <v>1.44</v>
      </c>
      <c r="AP73" s="72">
        <v>72</v>
      </c>
      <c r="AQ73" s="76">
        <v>1.44</v>
      </c>
      <c r="AR73" s="72">
        <f t="shared" si="7"/>
        <v>1.4406000000000001</v>
      </c>
      <c r="AS73" s="72">
        <f t="shared" si="8"/>
        <v>-6.0000000000015596E-4</v>
      </c>
      <c r="AU73" s="74"/>
      <c r="AV73" s="72">
        <v>91</v>
      </c>
      <c r="BN73" s="72">
        <v>1016.6121568627452</v>
      </c>
      <c r="BO73" s="72">
        <v>26.9327826086957</v>
      </c>
      <c r="BP73" s="72">
        <v>27.032250000000001</v>
      </c>
      <c r="BQ73" s="72">
        <v>35.549384615384611</v>
      </c>
      <c r="BR73" s="72">
        <v>35.698509803921567</v>
      </c>
    </row>
    <row r="74" spans="13:70">
      <c r="M74" s="72">
        <v>73</v>
      </c>
      <c r="O74" s="77">
        <v>93.066000000000003</v>
      </c>
      <c r="P74" s="75">
        <v>1.33</v>
      </c>
      <c r="Q74" s="75">
        <v>1.36</v>
      </c>
      <c r="R74" s="76">
        <v>1.27</v>
      </c>
      <c r="S74" s="76">
        <v>1.33</v>
      </c>
      <c r="T74" s="75">
        <v>1.01</v>
      </c>
      <c r="U74" s="75">
        <v>1.21</v>
      </c>
      <c r="V74" s="76">
        <v>1.32</v>
      </c>
      <c r="W74" s="77">
        <v>6.0000000000000001E-3</v>
      </c>
      <c r="X74" s="77"/>
      <c r="Y74" s="75">
        <v>1.21</v>
      </c>
      <c r="Z74" s="76">
        <v>1.19</v>
      </c>
      <c r="AA74" s="76">
        <v>1.24</v>
      </c>
      <c r="AB74" s="75">
        <v>1.1299999999999999</v>
      </c>
      <c r="AC74" s="75">
        <v>1.24</v>
      </c>
      <c r="AD74" s="75">
        <v>1.1399999999999999</v>
      </c>
      <c r="AE74" s="77"/>
      <c r="AF74" s="77"/>
      <c r="AG74" s="77"/>
      <c r="AH74" s="75">
        <v>1.94</v>
      </c>
      <c r="AI74" s="77"/>
      <c r="AJ74" s="76">
        <v>1.45</v>
      </c>
      <c r="AP74" s="72">
        <v>73</v>
      </c>
      <c r="AQ74" s="76">
        <v>1.42</v>
      </c>
      <c r="AR74" s="72">
        <f t="shared" si="7"/>
        <v>1.4406000000000001</v>
      </c>
      <c r="AS74" s="72">
        <f t="shared" si="8"/>
        <v>-2.0600000000000174E-2</v>
      </c>
      <c r="AU74" s="74"/>
      <c r="AV74" s="72">
        <v>92</v>
      </c>
      <c r="BN74" s="72">
        <v>1018.2180392156864</v>
      </c>
      <c r="BO74" s="72">
        <v>26.945391304347826</v>
      </c>
      <c r="BP74" s="72">
        <v>27.095000000000002</v>
      </c>
      <c r="BQ74" s="72">
        <v>35.582846153846155</v>
      </c>
      <c r="BR74" s="72">
        <v>35.670078431372545</v>
      </c>
    </row>
    <row r="75" spans="13:70">
      <c r="M75" s="72">
        <v>74</v>
      </c>
      <c r="O75" s="77">
        <v>93.137999999999991</v>
      </c>
      <c r="P75" s="76">
        <v>1.28</v>
      </c>
      <c r="Q75" s="76">
        <v>1.34</v>
      </c>
      <c r="R75" s="75">
        <v>1.33</v>
      </c>
      <c r="S75" s="76">
        <v>1.31</v>
      </c>
      <c r="T75" s="75">
        <v>1</v>
      </c>
      <c r="U75" s="76">
        <v>1.17</v>
      </c>
      <c r="V75" s="75">
        <v>1.36</v>
      </c>
      <c r="W75" s="77">
        <v>8.0000000000000002E-3</v>
      </c>
      <c r="X75" s="77"/>
      <c r="Y75" s="75">
        <v>1.2</v>
      </c>
      <c r="Z75" s="76">
        <v>1.18</v>
      </c>
      <c r="AA75" s="75">
        <v>1.3</v>
      </c>
      <c r="AB75" s="75">
        <v>1.1000000000000001</v>
      </c>
      <c r="AC75" s="75">
        <v>1.21</v>
      </c>
      <c r="AD75" s="75">
        <v>1.2</v>
      </c>
      <c r="AE75" s="77"/>
      <c r="AF75" s="77"/>
      <c r="AG75" s="77"/>
      <c r="AH75" s="75">
        <v>1.97</v>
      </c>
      <c r="AI75" s="77"/>
      <c r="AJ75" s="75">
        <v>1.46</v>
      </c>
      <c r="AP75" s="72">
        <v>74</v>
      </c>
      <c r="AQ75" s="75">
        <v>1.46</v>
      </c>
      <c r="AR75" s="72">
        <f t="shared" si="7"/>
        <v>1.4406000000000001</v>
      </c>
      <c r="AS75" s="72">
        <f t="shared" si="8"/>
        <v>1.9399999999999862E-2</v>
      </c>
      <c r="AU75" s="74"/>
      <c r="AV75" s="72">
        <v>93</v>
      </c>
      <c r="BN75" s="72">
        <v>1019.1513725490195</v>
      </c>
      <c r="BO75" s="72">
        <v>26.928869565217386</v>
      </c>
      <c r="BP75" s="72">
        <v>27.052250000000001</v>
      </c>
      <c r="BQ75" s="72">
        <v>35.532846153846151</v>
      </c>
      <c r="BR75" s="72">
        <v>35.699882352941174</v>
      </c>
    </row>
    <row r="76" spans="13:70">
      <c r="M76" s="72">
        <v>75</v>
      </c>
      <c r="O76" s="77">
        <v>93.073999999999998</v>
      </c>
      <c r="P76" s="75">
        <v>1.29</v>
      </c>
      <c r="Q76" s="76">
        <v>1.34</v>
      </c>
      <c r="R76" s="76">
        <v>1.3</v>
      </c>
      <c r="S76" s="75">
        <v>1.34</v>
      </c>
      <c r="T76" s="76">
        <v>0.98</v>
      </c>
      <c r="U76" s="76">
        <v>1.19</v>
      </c>
      <c r="V76" s="75">
        <v>1.38</v>
      </c>
      <c r="W76" s="77">
        <v>4.0000000000000001E-3</v>
      </c>
      <c r="X76" s="77"/>
      <c r="Y76" s="76">
        <v>1.17</v>
      </c>
      <c r="Z76" s="75">
        <v>1.23</v>
      </c>
      <c r="AA76" s="76">
        <v>1.27</v>
      </c>
      <c r="AB76" s="75">
        <v>1.1000000000000001</v>
      </c>
      <c r="AC76" s="75">
        <v>1.17</v>
      </c>
      <c r="AD76" s="75">
        <v>1.22</v>
      </c>
      <c r="AE76" s="77"/>
      <c r="AF76" s="77"/>
      <c r="AG76" s="77"/>
      <c r="AH76" s="75">
        <v>1.96</v>
      </c>
      <c r="AI76" s="77"/>
      <c r="AJ76" s="76">
        <v>1.43</v>
      </c>
      <c r="AP76" s="72">
        <v>75</v>
      </c>
      <c r="AQ76" s="75">
        <v>1.45</v>
      </c>
      <c r="AR76" s="72">
        <f t="shared" si="7"/>
        <v>1.4406000000000001</v>
      </c>
      <c r="AS76" s="72">
        <f t="shared" si="8"/>
        <v>9.3999999999998529E-3</v>
      </c>
      <c r="AU76" s="74"/>
      <c r="AV76" s="72">
        <v>94</v>
      </c>
      <c r="BN76" s="72">
        <v>1016.0768627450982</v>
      </c>
      <c r="BO76" s="72">
        <v>26.961913043478262</v>
      </c>
      <c r="BP76" s="72">
        <v>27.038250000000001</v>
      </c>
      <c r="BQ76" s="72">
        <v>35.605923076923077</v>
      </c>
      <c r="BR76" s="72">
        <v>35.681450980392157</v>
      </c>
    </row>
    <row r="77" spans="13:70">
      <c r="M77" s="72">
        <v>76</v>
      </c>
      <c r="O77" s="77">
        <v>93.051000000000002</v>
      </c>
      <c r="P77" s="76">
        <v>1.25</v>
      </c>
      <c r="Q77" s="76">
        <v>1.31</v>
      </c>
      <c r="R77" s="75">
        <v>1.31</v>
      </c>
      <c r="S77" s="76">
        <v>1.33</v>
      </c>
      <c r="T77" s="75">
        <v>1</v>
      </c>
      <c r="U77" s="76">
        <v>1.19</v>
      </c>
      <c r="V77" s="76">
        <v>1.33</v>
      </c>
      <c r="W77" s="77">
        <v>1E-3</v>
      </c>
      <c r="X77" s="77"/>
      <c r="Y77" s="75">
        <v>1.2</v>
      </c>
      <c r="Z77" s="75">
        <v>1.25</v>
      </c>
      <c r="AA77" s="75">
        <v>1.31</v>
      </c>
      <c r="AB77" s="75">
        <v>1.1499999999999999</v>
      </c>
      <c r="AC77" s="75">
        <v>1.18</v>
      </c>
      <c r="AD77" s="75">
        <v>1.17</v>
      </c>
      <c r="AE77" s="77"/>
      <c r="AF77" s="77"/>
      <c r="AG77" s="77"/>
      <c r="AH77" s="75">
        <v>1.94</v>
      </c>
      <c r="AI77" s="77"/>
      <c r="AJ77" s="76">
        <v>1.44</v>
      </c>
      <c r="AP77" s="72">
        <v>76</v>
      </c>
      <c r="AQ77" s="76">
        <v>1.44</v>
      </c>
      <c r="AR77" s="72">
        <f t="shared" si="7"/>
        <v>1.4406000000000001</v>
      </c>
      <c r="AS77" s="72">
        <f t="shared" si="8"/>
        <v>-6.0000000000015596E-4</v>
      </c>
      <c r="AU77" s="74"/>
      <c r="AV77" s="72">
        <v>95</v>
      </c>
      <c r="BN77" s="72">
        <v>1017.4631372549023</v>
      </c>
      <c r="BO77" s="72">
        <v>26.957130434782606</v>
      </c>
      <c r="BP77" s="72">
        <v>27.043499999999998</v>
      </c>
      <c r="BQ77" s="72">
        <v>35.536307692307695</v>
      </c>
      <c r="BR77" s="72">
        <v>35.702039215686277</v>
      </c>
    </row>
    <row r="78" spans="13:70">
      <c r="M78" s="72">
        <v>77</v>
      </c>
      <c r="O78" s="77">
        <v>93.149000000000001</v>
      </c>
      <c r="P78" s="75">
        <v>1.3</v>
      </c>
      <c r="Q78" s="75">
        <v>1.39</v>
      </c>
      <c r="R78" s="76">
        <v>1.28</v>
      </c>
      <c r="S78" s="76">
        <v>1.31</v>
      </c>
      <c r="T78" s="75">
        <v>1</v>
      </c>
      <c r="U78" s="75">
        <v>1.21</v>
      </c>
      <c r="V78" s="75">
        <v>1.35</v>
      </c>
      <c r="W78" s="77">
        <v>8.9999999999999993E-3</v>
      </c>
      <c r="X78" s="77"/>
      <c r="Y78" s="75">
        <v>1.21</v>
      </c>
      <c r="Z78" s="76">
        <v>1.22</v>
      </c>
      <c r="AA78" s="76">
        <v>1.26</v>
      </c>
      <c r="AB78" s="75">
        <v>1.18</v>
      </c>
      <c r="AC78" s="75">
        <v>1.23</v>
      </c>
      <c r="AD78" s="75">
        <v>1.1399999999999999</v>
      </c>
      <c r="AE78" s="77"/>
      <c r="AF78" s="77"/>
      <c r="AG78" s="77"/>
      <c r="AH78" s="75">
        <v>1.94</v>
      </c>
      <c r="AI78" s="77"/>
      <c r="AJ78" s="75">
        <v>1.45</v>
      </c>
      <c r="AP78" s="72">
        <v>77</v>
      </c>
      <c r="AQ78" s="75">
        <v>1.45</v>
      </c>
      <c r="AR78" s="72">
        <f t="shared" si="7"/>
        <v>1.4406000000000001</v>
      </c>
      <c r="AS78" s="72">
        <f t="shared" si="8"/>
        <v>9.3999999999998529E-3</v>
      </c>
      <c r="AU78" s="74"/>
      <c r="AV78" s="72">
        <v>96</v>
      </c>
      <c r="BN78" s="72">
        <v>1015.7749019607842</v>
      </c>
      <c r="BO78" s="72">
        <v>26.978434782608694</v>
      </c>
      <c r="BP78" s="72">
        <v>27.035250000000001</v>
      </c>
      <c r="BQ78" s="72">
        <v>35.555923076923079</v>
      </c>
      <c r="BR78" s="72">
        <v>35.680078431372543</v>
      </c>
    </row>
    <row r="79" spans="13:70">
      <c r="M79" s="72">
        <v>78</v>
      </c>
      <c r="O79" s="77">
        <v>93.016000000000005</v>
      </c>
      <c r="P79" s="75">
        <v>1.29</v>
      </c>
      <c r="Q79" s="76">
        <v>1.34</v>
      </c>
      <c r="R79" s="75">
        <v>1.34</v>
      </c>
      <c r="S79" s="75">
        <v>1.34</v>
      </c>
      <c r="T79" s="76">
        <v>0.98</v>
      </c>
      <c r="U79" s="76">
        <v>1.19</v>
      </c>
      <c r="V79" s="75">
        <v>1.37</v>
      </c>
      <c r="W79" s="77">
        <v>6.0000000000000001E-3</v>
      </c>
      <c r="X79" s="77"/>
      <c r="Y79" s="76">
        <v>1.19</v>
      </c>
      <c r="Z79" s="75">
        <v>1.26</v>
      </c>
      <c r="AA79" s="76">
        <v>1.27</v>
      </c>
      <c r="AB79" s="75">
        <v>1.17</v>
      </c>
      <c r="AC79" s="75">
        <v>1.17</v>
      </c>
      <c r="AD79" s="75">
        <v>1.2</v>
      </c>
      <c r="AE79" s="77"/>
      <c r="AF79" s="77"/>
      <c r="AG79" s="77"/>
      <c r="AH79" s="75">
        <v>1.94</v>
      </c>
      <c r="AI79" s="77"/>
      <c r="AJ79" s="76">
        <v>1.42</v>
      </c>
      <c r="AP79" s="72">
        <v>78</v>
      </c>
      <c r="AQ79" s="76">
        <v>1.42</v>
      </c>
      <c r="AR79" s="72">
        <f t="shared" si="7"/>
        <v>1.4406000000000001</v>
      </c>
      <c r="AS79" s="72">
        <f t="shared" si="8"/>
        <v>-2.0600000000000174E-2</v>
      </c>
      <c r="AU79" s="74"/>
      <c r="AV79" s="72">
        <v>97</v>
      </c>
      <c r="BN79" s="72">
        <v>1017.4768627450984</v>
      </c>
      <c r="BO79" s="72">
        <v>27.011478260869566</v>
      </c>
      <c r="BP79" s="72">
        <v>26.96</v>
      </c>
      <c r="BQ79" s="72">
        <v>35.652461538461537</v>
      </c>
      <c r="BR79" s="72">
        <v>35.683607843137253</v>
      </c>
    </row>
    <row r="80" spans="13:70">
      <c r="M80" s="72">
        <v>79</v>
      </c>
      <c r="O80" s="77">
        <v>93.206000000000003</v>
      </c>
      <c r="P80" s="76">
        <v>1.25</v>
      </c>
      <c r="Q80" s="76">
        <v>1.35</v>
      </c>
      <c r="R80" s="75">
        <v>1.31</v>
      </c>
      <c r="S80" s="76">
        <v>1.32</v>
      </c>
      <c r="T80" s="76">
        <v>0.98</v>
      </c>
      <c r="U80" s="76">
        <v>1.18</v>
      </c>
      <c r="V80" s="76">
        <v>1.29</v>
      </c>
      <c r="W80" s="77">
        <v>6.0000000000000001E-3</v>
      </c>
      <c r="X80" s="77"/>
      <c r="Y80" s="75">
        <v>1.2</v>
      </c>
      <c r="Z80" s="76">
        <v>1.2</v>
      </c>
      <c r="AA80" s="75">
        <v>1.28</v>
      </c>
      <c r="AB80" s="75">
        <v>1.1399999999999999</v>
      </c>
      <c r="AC80" s="75">
        <v>1.2</v>
      </c>
      <c r="AD80" s="75">
        <v>1.17</v>
      </c>
      <c r="AE80" s="77"/>
      <c r="AF80" s="77"/>
      <c r="AG80" s="77"/>
      <c r="AH80" s="75">
        <v>1.95</v>
      </c>
      <c r="AI80" s="77"/>
      <c r="AJ80" s="76">
        <v>1.43</v>
      </c>
      <c r="AP80" s="72">
        <v>79</v>
      </c>
      <c r="AQ80" s="76">
        <v>1.43</v>
      </c>
      <c r="AR80" s="72">
        <f t="shared" si="7"/>
        <v>1.4406000000000001</v>
      </c>
      <c r="AS80" s="72">
        <f t="shared" si="8"/>
        <v>-1.0600000000000165E-2</v>
      </c>
      <c r="AU80" s="74"/>
      <c r="AV80" s="72">
        <v>98</v>
      </c>
      <c r="BN80" s="72">
        <v>1017.1611764705883</v>
      </c>
      <c r="BO80" s="72">
        <v>26.85495652173913</v>
      </c>
      <c r="BP80" s="72">
        <v>27.040500000000002</v>
      </c>
      <c r="BQ80" s="72">
        <v>35.556307692307691</v>
      </c>
      <c r="BR80" s="72">
        <v>35.670274509803917</v>
      </c>
    </row>
    <row r="81" spans="13:70">
      <c r="M81" s="72">
        <v>80</v>
      </c>
      <c r="O81" s="77">
        <v>93.027999999999992</v>
      </c>
      <c r="P81" s="75">
        <v>1.32</v>
      </c>
      <c r="Q81" s="76">
        <v>1.35</v>
      </c>
      <c r="R81" s="76">
        <v>1.27</v>
      </c>
      <c r="S81" s="75">
        <v>1.37</v>
      </c>
      <c r="T81" s="75">
        <v>1.01</v>
      </c>
      <c r="U81" s="76">
        <v>1.19</v>
      </c>
      <c r="V81" s="75">
        <v>1.37</v>
      </c>
      <c r="W81" s="77">
        <v>8.0000000000000002E-3</v>
      </c>
      <c r="X81" s="77"/>
      <c r="Y81" s="75">
        <v>1.21</v>
      </c>
      <c r="Z81" s="75">
        <v>1.24</v>
      </c>
      <c r="AA81" s="76">
        <v>1.24</v>
      </c>
      <c r="AB81" s="75">
        <v>1.1299999999999999</v>
      </c>
      <c r="AC81" s="75">
        <v>1.19</v>
      </c>
      <c r="AD81" s="75">
        <v>1.18</v>
      </c>
      <c r="AE81" s="77"/>
      <c r="AF81" s="77"/>
      <c r="AG81" s="77"/>
      <c r="AH81" s="75">
        <v>1.96</v>
      </c>
      <c r="AI81" s="77"/>
      <c r="AJ81" s="76">
        <v>1.45</v>
      </c>
      <c r="AP81" s="72">
        <v>80</v>
      </c>
      <c r="AQ81" s="76">
        <v>1.42</v>
      </c>
      <c r="AR81" s="72">
        <f t="shared" si="7"/>
        <v>1.4406000000000001</v>
      </c>
      <c r="AS81" s="72">
        <f t="shared" si="8"/>
        <v>-2.0600000000000174E-2</v>
      </c>
      <c r="AU81" s="74"/>
      <c r="AV81" s="72">
        <v>99</v>
      </c>
      <c r="BN81" s="72">
        <v>1017.7513725490197</v>
      </c>
      <c r="BO81" s="72">
        <v>26.921043478260867</v>
      </c>
      <c r="BP81" s="72">
        <v>27.032499999999999</v>
      </c>
      <c r="BQ81" s="72">
        <v>35.585538461538462</v>
      </c>
      <c r="BR81" s="72">
        <v>35.669490196078428</v>
      </c>
    </row>
    <row r="82" spans="13:70">
      <c r="M82" s="72">
        <v>81</v>
      </c>
      <c r="O82" s="77">
        <v>93.134</v>
      </c>
      <c r="P82" s="76">
        <v>1.26</v>
      </c>
      <c r="Q82" s="75">
        <v>1.4</v>
      </c>
      <c r="R82" s="76">
        <v>1.28</v>
      </c>
      <c r="S82" s="75">
        <v>1.34</v>
      </c>
      <c r="T82" s="76">
        <v>0.98</v>
      </c>
      <c r="U82" s="75">
        <v>1.24</v>
      </c>
      <c r="V82" s="76">
        <v>1.29</v>
      </c>
      <c r="W82" s="77">
        <v>4.0000000000000001E-3</v>
      </c>
      <c r="X82" s="77"/>
      <c r="Y82" s="76">
        <v>1.17</v>
      </c>
      <c r="Z82" s="75">
        <v>1.26</v>
      </c>
      <c r="AA82" s="75">
        <v>1.31</v>
      </c>
      <c r="AB82" s="75">
        <v>1.1599999999999999</v>
      </c>
      <c r="AC82" s="75">
        <v>1.2</v>
      </c>
      <c r="AD82" s="75">
        <v>1.1499999999999999</v>
      </c>
      <c r="AE82" s="77"/>
      <c r="AF82" s="77"/>
      <c r="AG82" s="77"/>
      <c r="AH82" s="75">
        <v>1.95</v>
      </c>
      <c r="AI82" s="77"/>
      <c r="AJ82" s="75">
        <v>1.45</v>
      </c>
      <c r="AP82" s="72">
        <v>81</v>
      </c>
      <c r="AQ82" s="76">
        <v>1.43</v>
      </c>
      <c r="AR82" s="72">
        <f t="shared" si="7"/>
        <v>1.4406000000000001</v>
      </c>
      <c r="AS82" s="72">
        <f t="shared" si="8"/>
        <v>-1.0600000000000165E-2</v>
      </c>
      <c r="AU82" s="74"/>
      <c r="AV82" s="72">
        <v>100</v>
      </c>
      <c r="BN82" s="72">
        <v>1016.0219607843139</v>
      </c>
      <c r="BO82" s="72">
        <v>26.958869565217388</v>
      </c>
      <c r="BP82" s="72">
        <v>27.051500000000001</v>
      </c>
      <c r="BQ82" s="72">
        <v>35.567076923076925</v>
      </c>
      <c r="BR82" s="72">
        <v>35.69027450980392</v>
      </c>
    </row>
    <row r="83" spans="13:70">
      <c r="M83" s="72">
        <v>82</v>
      </c>
      <c r="O83" s="77">
        <v>93.039000000000001</v>
      </c>
      <c r="P83" s="75">
        <v>1.31</v>
      </c>
      <c r="Q83" s="76">
        <v>1.33</v>
      </c>
      <c r="R83" s="75">
        <v>1.32</v>
      </c>
      <c r="S83" s="76">
        <v>1.31</v>
      </c>
      <c r="T83" s="75">
        <v>1</v>
      </c>
      <c r="U83" s="76">
        <v>1.18</v>
      </c>
      <c r="V83" s="75">
        <v>1.38</v>
      </c>
      <c r="W83" s="77">
        <v>8.9999999999999993E-3</v>
      </c>
      <c r="X83" s="77"/>
      <c r="Y83" s="75">
        <v>1.22</v>
      </c>
      <c r="Z83" s="76">
        <v>1.22</v>
      </c>
      <c r="AA83" s="76">
        <v>1.25</v>
      </c>
      <c r="AB83" s="75">
        <v>1.18</v>
      </c>
      <c r="AC83" s="75">
        <v>1.17</v>
      </c>
      <c r="AD83" s="75">
        <v>1.18</v>
      </c>
      <c r="AE83" s="77"/>
      <c r="AF83" s="77"/>
      <c r="AG83" s="77"/>
      <c r="AH83" s="75">
        <v>1.96</v>
      </c>
      <c r="AI83" s="77"/>
      <c r="AJ83" s="76">
        <v>1.43</v>
      </c>
      <c r="AP83" s="72">
        <v>82</v>
      </c>
      <c r="AQ83" s="76">
        <v>1.43</v>
      </c>
      <c r="AR83" s="72">
        <f t="shared" si="7"/>
        <v>1.4406000000000001</v>
      </c>
      <c r="AS83" s="72">
        <f t="shared" si="8"/>
        <v>-1.0600000000000165E-2</v>
      </c>
      <c r="AU83" s="74"/>
      <c r="AV83" s="72">
        <v>101</v>
      </c>
      <c r="BN83" s="72">
        <v>1018.7945098039218</v>
      </c>
      <c r="BO83" s="72">
        <v>26.902347826086956</v>
      </c>
      <c r="BP83" s="72">
        <v>27.048749999999998</v>
      </c>
      <c r="BQ83" s="72">
        <v>35.537076923076924</v>
      </c>
      <c r="BR83" s="72">
        <v>35.686549019607838</v>
      </c>
    </row>
    <row r="84" spans="13:70">
      <c r="M84" s="72">
        <v>83</v>
      </c>
      <c r="O84" s="77">
        <v>93.100999999999999</v>
      </c>
      <c r="P84" s="76">
        <v>1.27</v>
      </c>
      <c r="Q84" s="75">
        <v>1.39</v>
      </c>
      <c r="R84" s="76">
        <v>1.29</v>
      </c>
      <c r="S84" s="75">
        <v>1.34</v>
      </c>
      <c r="T84" s="75">
        <v>1.04</v>
      </c>
      <c r="U84" s="75">
        <v>1.22</v>
      </c>
      <c r="V84" s="75">
        <v>1.36</v>
      </c>
      <c r="W84" s="77">
        <v>1E-3</v>
      </c>
      <c r="X84" s="77"/>
      <c r="Y84" s="76">
        <v>1.1599999999999999</v>
      </c>
      <c r="Z84" s="76">
        <v>1.2</v>
      </c>
      <c r="AA84" s="75">
        <v>1.28</v>
      </c>
      <c r="AB84" s="75">
        <v>1.1499999999999999</v>
      </c>
      <c r="AC84" s="75">
        <v>1.23</v>
      </c>
      <c r="AD84" s="75">
        <v>1.18</v>
      </c>
      <c r="AE84" s="77"/>
      <c r="AF84" s="77"/>
      <c r="AG84" s="77"/>
      <c r="AH84" s="75">
        <v>1.95</v>
      </c>
      <c r="AI84" s="77"/>
      <c r="AJ84" s="76">
        <v>1.45</v>
      </c>
      <c r="AP84" s="72">
        <v>83</v>
      </c>
      <c r="AQ84" s="76">
        <v>1.42</v>
      </c>
      <c r="AR84" s="72">
        <f t="shared" si="7"/>
        <v>1.4406000000000001</v>
      </c>
      <c r="AS84" s="72">
        <f t="shared" si="8"/>
        <v>-2.0600000000000174E-2</v>
      </c>
      <c r="AU84" s="74"/>
      <c r="AV84" s="72">
        <v>102</v>
      </c>
      <c r="BN84" s="72">
        <v>1019.9749019607843</v>
      </c>
      <c r="BO84" s="72">
        <v>26.948434782608693</v>
      </c>
      <c r="BP84" s="72">
        <v>27.061</v>
      </c>
      <c r="BQ84" s="72">
        <v>35.576307692307694</v>
      </c>
      <c r="BR84" s="72">
        <v>35.664196078431367</v>
      </c>
    </row>
    <row r="85" spans="13:70">
      <c r="M85" s="72">
        <v>84</v>
      </c>
      <c r="O85" s="77">
        <v>93.028999999999996</v>
      </c>
      <c r="P85" s="76">
        <v>1.26</v>
      </c>
      <c r="Q85" s="76">
        <v>1.35</v>
      </c>
      <c r="R85" s="75">
        <v>1.31</v>
      </c>
      <c r="S85" s="76">
        <v>1.33</v>
      </c>
      <c r="T85" s="76">
        <v>0.99</v>
      </c>
      <c r="U85" s="76">
        <v>1.17</v>
      </c>
      <c r="V85" s="76">
        <v>1.29</v>
      </c>
      <c r="W85" s="77">
        <v>8.9999999999999993E-3</v>
      </c>
      <c r="X85" s="77"/>
      <c r="Y85" s="75">
        <v>1.22</v>
      </c>
      <c r="Z85" s="76">
        <v>1.22</v>
      </c>
      <c r="AA85" s="76">
        <v>1.27</v>
      </c>
      <c r="AB85" s="75">
        <v>1.1499999999999999</v>
      </c>
      <c r="AC85" s="75">
        <v>1.18</v>
      </c>
      <c r="AD85" s="75">
        <v>1.18</v>
      </c>
      <c r="AE85" s="77"/>
      <c r="AF85" s="77"/>
      <c r="AG85" s="77"/>
      <c r="AH85" s="75">
        <v>1.96</v>
      </c>
      <c r="AI85" s="77"/>
      <c r="AJ85" s="75">
        <v>1.46</v>
      </c>
      <c r="AP85" s="72">
        <v>84</v>
      </c>
      <c r="AQ85" s="75">
        <v>1.46</v>
      </c>
      <c r="AR85" s="72">
        <f t="shared" si="7"/>
        <v>1.4406000000000001</v>
      </c>
      <c r="AS85" s="72">
        <f t="shared" si="8"/>
        <v>1.9399999999999862E-2</v>
      </c>
      <c r="AU85" s="74"/>
      <c r="AV85" s="72">
        <v>103</v>
      </c>
      <c r="BN85" s="72">
        <v>1017.8886274509804</v>
      </c>
      <c r="BO85" s="72">
        <v>26.828869565217392</v>
      </c>
      <c r="BP85" s="72">
        <v>27.080000000000002</v>
      </c>
      <c r="BQ85" s="72">
        <v>35.58861538461538</v>
      </c>
      <c r="BR85" s="72">
        <v>35.684588235294115</v>
      </c>
    </row>
    <row r="86" spans="13:70">
      <c r="M86" s="72">
        <v>85</v>
      </c>
      <c r="O86" s="77">
        <v>93.105999999999995</v>
      </c>
      <c r="P86" s="75">
        <v>1.32</v>
      </c>
      <c r="Q86" s="76">
        <v>1.34</v>
      </c>
      <c r="R86" s="76">
        <v>1.28</v>
      </c>
      <c r="S86" s="75">
        <v>1.35</v>
      </c>
      <c r="T86" s="75">
        <v>1.02</v>
      </c>
      <c r="U86" s="76">
        <v>1.19</v>
      </c>
      <c r="V86" s="75">
        <v>1.39</v>
      </c>
      <c r="W86" s="77">
        <v>6.0000000000000001E-3</v>
      </c>
      <c r="X86" s="77"/>
      <c r="Y86" s="75">
        <v>1.21</v>
      </c>
      <c r="Z86" s="75">
        <v>1.26</v>
      </c>
      <c r="AA86" s="76">
        <v>1.27</v>
      </c>
      <c r="AB86" s="75">
        <v>1.1200000000000001</v>
      </c>
      <c r="AC86" s="75">
        <v>1.21</v>
      </c>
      <c r="AD86" s="75">
        <v>1.22</v>
      </c>
      <c r="AE86" s="77"/>
      <c r="AF86" s="77"/>
      <c r="AG86" s="77"/>
      <c r="AH86" s="75">
        <v>1.97</v>
      </c>
      <c r="AI86" s="77"/>
      <c r="AJ86" s="76">
        <v>1.42</v>
      </c>
      <c r="AP86" s="72">
        <v>85</v>
      </c>
      <c r="AQ86" s="76">
        <v>1.42</v>
      </c>
      <c r="AR86" s="72">
        <f t="shared" si="7"/>
        <v>1.4406000000000001</v>
      </c>
      <c r="AS86" s="72">
        <f t="shared" si="8"/>
        <v>-2.0600000000000174E-2</v>
      </c>
      <c r="AU86" s="74"/>
      <c r="AV86" s="72">
        <v>104</v>
      </c>
      <c r="BN86" s="72">
        <v>1017.0788235294119</v>
      </c>
      <c r="BO86" s="72">
        <v>26.913217391304343</v>
      </c>
      <c r="BP86" s="72">
        <v>27.060500000000001</v>
      </c>
      <c r="BQ86" s="72">
        <v>35.542461538461538</v>
      </c>
      <c r="BR86" s="72">
        <v>35.689686274509803</v>
      </c>
    </row>
    <row r="87" spans="13:70">
      <c r="M87" s="72">
        <v>86</v>
      </c>
      <c r="O87" s="77">
        <v>93.067999999999998</v>
      </c>
      <c r="P87" s="76">
        <v>1.26</v>
      </c>
      <c r="Q87" s="75">
        <v>1.37</v>
      </c>
      <c r="R87" s="76">
        <v>1.26</v>
      </c>
      <c r="S87" s="75">
        <v>1.38</v>
      </c>
      <c r="T87" s="75">
        <v>1.01</v>
      </c>
      <c r="U87" s="75">
        <v>1.24</v>
      </c>
      <c r="V87" s="75">
        <v>1.34</v>
      </c>
      <c r="W87" s="77">
        <v>8.0000000000000002E-3</v>
      </c>
      <c r="X87" s="77"/>
      <c r="Y87" s="76">
        <v>1.19</v>
      </c>
      <c r="Z87" s="76">
        <v>1.19</v>
      </c>
      <c r="AA87" s="75">
        <v>1.3</v>
      </c>
      <c r="AB87" s="75">
        <v>1.1100000000000001</v>
      </c>
      <c r="AC87" s="75">
        <v>1.23</v>
      </c>
      <c r="AD87" s="75">
        <v>1.19</v>
      </c>
      <c r="AE87" s="77"/>
      <c r="AF87" s="77"/>
      <c r="AG87" s="77"/>
      <c r="AH87" s="75">
        <v>1.96</v>
      </c>
      <c r="AI87" s="77"/>
      <c r="AJ87" s="76">
        <v>1.42</v>
      </c>
      <c r="AP87" s="72">
        <v>86</v>
      </c>
      <c r="AQ87" s="76">
        <v>1.42</v>
      </c>
      <c r="AR87" s="72">
        <f t="shared" si="7"/>
        <v>1.4406000000000001</v>
      </c>
      <c r="AS87" s="72">
        <f t="shared" si="8"/>
        <v>-2.0600000000000174E-2</v>
      </c>
      <c r="AU87" s="74"/>
      <c r="AV87" s="72">
        <v>105</v>
      </c>
      <c r="BN87" s="72">
        <v>1016.7219607843138</v>
      </c>
      <c r="BO87" s="72">
        <v>26.959304347826087</v>
      </c>
      <c r="BP87" s="72">
        <v>27.005749999999999</v>
      </c>
      <c r="BQ87" s="72">
        <v>35.583230769230774</v>
      </c>
      <c r="BR87" s="72">
        <v>35.657137254901961</v>
      </c>
    </row>
    <row r="88" spans="13:70">
      <c r="M88" s="72">
        <v>87</v>
      </c>
      <c r="O88" s="77">
        <v>93.191000000000003</v>
      </c>
      <c r="P88" s="76">
        <v>1.27</v>
      </c>
      <c r="Q88" s="75">
        <v>1.37</v>
      </c>
      <c r="R88" s="76">
        <v>1.3</v>
      </c>
      <c r="S88" s="76">
        <v>1.29</v>
      </c>
      <c r="T88" s="75">
        <v>1</v>
      </c>
      <c r="U88" s="76">
        <v>1.2</v>
      </c>
      <c r="V88" s="76">
        <v>1.33</v>
      </c>
      <c r="W88" s="77">
        <v>1E-3</v>
      </c>
      <c r="X88" s="77"/>
      <c r="Y88" s="75">
        <v>1.22</v>
      </c>
      <c r="Z88" s="75">
        <v>1.24</v>
      </c>
      <c r="AA88" s="76">
        <v>1.25</v>
      </c>
      <c r="AB88" s="75">
        <v>1.1200000000000001</v>
      </c>
      <c r="AC88" s="75">
        <v>1.21</v>
      </c>
      <c r="AD88" s="75">
        <v>1.18</v>
      </c>
      <c r="AE88" s="77"/>
      <c r="AF88" s="77"/>
      <c r="AG88" s="77"/>
      <c r="AH88" s="75">
        <v>1.95</v>
      </c>
      <c r="AI88" s="77"/>
      <c r="AJ88" s="76">
        <v>1.43</v>
      </c>
      <c r="AP88" s="72">
        <v>87</v>
      </c>
      <c r="AQ88" s="76">
        <v>1.43</v>
      </c>
      <c r="AR88" s="72">
        <f t="shared" si="7"/>
        <v>1.4406000000000001</v>
      </c>
      <c r="AS88" s="72">
        <f t="shared" si="8"/>
        <v>-1.0600000000000165E-2</v>
      </c>
      <c r="AU88" s="74"/>
      <c r="AV88" s="72">
        <v>106</v>
      </c>
      <c r="BN88" s="72">
        <v>1019.0003921568627</v>
      </c>
      <c r="BO88" s="72">
        <v>26.951043478260868</v>
      </c>
      <c r="BP88" s="72">
        <v>27.094999999999999</v>
      </c>
      <c r="BQ88" s="72">
        <v>35.575923076923075</v>
      </c>
      <c r="BR88" s="72">
        <v>35.678509803921571</v>
      </c>
    </row>
    <row r="89" spans="13:70">
      <c r="M89" s="72">
        <v>88</v>
      </c>
      <c r="O89" s="77">
        <v>93.049000000000007</v>
      </c>
      <c r="P89" s="75">
        <v>1.3</v>
      </c>
      <c r="Q89" s="76">
        <v>1.33</v>
      </c>
      <c r="R89" s="75">
        <v>1.31</v>
      </c>
      <c r="S89" s="76">
        <v>1.29</v>
      </c>
      <c r="T89" s="75">
        <v>1.02</v>
      </c>
      <c r="U89" s="75">
        <v>1.25</v>
      </c>
      <c r="V89" s="75">
        <v>1.36</v>
      </c>
      <c r="W89" s="77">
        <v>8.9999999999999993E-3</v>
      </c>
      <c r="X89" s="77"/>
      <c r="Y89" s="76">
        <v>1.17</v>
      </c>
      <c r="Z89" s="76">
        <v>1.2</v>
      </c>
      <c r="AA89" s="76">
        <v>1.25</v>
      </c>
      <c r="AB89" s="75">
        <v>1.1200000000000001</v>
      </c>
      <c r="AC89" s="75">
        <v>1.23</v>
      </c>
      <c r="AD89" s="75">
        <v>1.1499999999999999</v>
      </c>
      <c r="AE89" s="77"/>
      <c r="AF89" s="77"/>
      <c r="AG89" s="77"/>
      <c r="AH89" s="75">
        <v>1.96</v>
      </c>
      <c r="AI89" s="77"/>
      <c r="AJ89" s="75">
        <v>1.47</v>
      </c>
      <c r="AP89" s="72">
        <v>88</v>
      </c>
      <c r="AQ89" s="76">
        <v>1.44</v>
      </c>
      <c r="AR89" s="72">
        <f t="shared" si="7"/>
        <v>1.4406000000000001</v>
      </c>
      <c r="AS89" s="72">
        <f t="shared" si="8"/>
        <v>-6.0000000000015596E-4</v>
      </c>
      <c r="AU89" s="74"/>
      <c r="AV89" s="72">
        <v>107</v>
      </c>
      <c r="BN89" s="72">
        <v>1017.50431372549</v>
      </c>
      <c r="BO89" s="72">
        <v>26.90147826086956</v>
      </c>
      <c r="BP89" s="72">
        <v>27.044499999999999</v>
      </c>
      <c r="BQ89" s="72">
        <v>35.532076923076922</v>
      </c>
      <c r="BR89" s="72">
        <v>35.679098039215681</v>
      </c>
    </row>
    <row r="90" spans="13:70">
      <c r="M90" s="72">
        <v>89</v>
      </c>
      <c r="O90" s="77">
        <v>93.016000000000005</v>
      </c>
      <c r="P90" s="76">
        <v>1.28</v>
      </c>
      <c r="Q90" s="75">
        <v>1.36</v>
      </c>
      <c r="R90" s="76">
        <v>1.25</v>
      </c>
      <c r="S90" s="75">
        <v>1.37</v>
      </c>
      <c r="T90" s="76">
        <v>0.97</v>
      </c>
      <c r="U90" s="75">
        <v>1.21</v>
      </c>
      <c r="V90" s="75">
        <v>1.37</v>
      </c>
      <c r="W90" s="77">
        <v>6.0000000000000001E-3</v>
      </c>
      <c r="X90" s="77"/>
      <c r="Y90" s="76">
        <v>1.19</v>
      </c>
      <c r="Z90" s="75">
        <v>1.23</v>
      </c>
      <c r="AA90" s="76">
        <v>1.27</v>
      </c>
      <c r="AB90" s="75">
        <v>1.1399999999999999</v>
      </c>
      <c r="AC90" s="75">
        <v>1.24</v>
      </c>
      <c r="AD90" s="75">
        <v>1.1399999999999999</v>
      </c>
      <c r="AE90" s="77"/>
      <c r="AF90" s="77"/>
      <c r="AG90" s="77"/>
      <c r="AH90" s="75">
        <v>1.95</v>
      </c>
      <c r="AI90" s="77"/>
      <c r="AJ90" s="76">
        <v>1.43</v>
      </c>
      <c r="AP90" s="72">
        <v>89</v>
      </c>
      <c r="AQ90" s="76">
        <v>1.43</v>
      </c>
      <c r="AR90" s="72">
        <f t="shared" si="7"/>
        <v>1.4406000000000001</v>
      </c>
      <c r="AS90" s="72">
        <f t="shared" si="8"/>
        <v>-1.0600000000000165E-2</v>
      </c>
      <c r="AU90" s="74"/>
      <c r="AV90" s="72">
        <v>108</v>
      </c>
      <c r="BN90" s="72">
        <v>1017.2572549019608</v>
      </c>
      <c r="BO90" s="72">
        <v>26.946695652173915</v>
      </c>
      <c r="BP90" s="72">
        <v>27.110000000000003</v>
      </c>
      <c r="BQ90" s="72">
        <v>35.572076923076928</v>
      </c>
      <c r="BR90" s="72">
        <v>35.703215686274511</v>
      </c>
    </row>
    <row r="91" spans="13:70">
      <c r="M91" s="72">
        <v>90</v>
      </c>
      <c r="O91" s="77">
        <v>93.100999999999999</v>
      </c>
      <c r="P91" s="75">
        <v>1.29</v>
      </c>
      <c r="Q91" s="76">
        <v>1.34</v>
      </c>
      <c r="R91" s="76">
        <v>1.27</v>
      </c>
      <c r="S91" s="76">
        <v>1.3</v>
      </c>
      <c r="T91" s="76">
        <v>0.96</v>
      </c>
      <c r="U91" s="76">
        <v>1.19</v>
      </c>
      <c r="V91" s="76">
        <v>1.29</v>
      </c>
      <c r="W91" s="77">
        <v>1E-3</v>
      </c>
      <c r="X91" s="77"/>
      <c r="Y91" s="75">
        <v>1.21</v>
      </c>
      <c r="Z91" s="76">
        <v>1.21</v>
      </c>
      <c r="AA91" s="75">
        <v>1.29</v>
      </c>
      <c r="AB91" s="75">
        <v>1.18</v>
      </c>
      <c r="AC91" s="75">
        <v>1.18</v>
      </c>
      <c r="AD91" s="75">
        <v>1.1299999999999999</v>
      </c>
      <c r="AE91" s="77"/>
      <c r="AF91" s="77"/>
      <c r="AG91" s="77"/>
      <c r="AH91" s="75">
        <v>1.95</v>
      </c>
      <c r="AI91" s="77"/>
      <c r="AJ91" s="76">
        <v>1.42</v>
      </c>
      <c r="AP91" s="72">
        <v>90</v>
      </c>
      <c r="AQ91" s="76">
        <v>1.42</v>
      </c>
      <c r="AR91" s="72">
        <f t="shared" si="7"/>
        <v>1.4406000000000001</v>
      </c>
      <c r="AS91" s="72">
        <f t="shared" si="8"/>
        <v>-2.0600000000000174E-2</v>
      </c>
      <c r="AU91" s="74"/>
      <c r="AV91" s="72">
        <v>109</v>
      </c>
      <c r="BN91" s="72">
        <v>1018.3278431372549</v>
      </c>
      <c r="BO91" s="72">
        <v>26.934086956521735</v>
      </c>
      <c r="BP91" s="72">
        <v>27.06475</v>
      </c>
      <c r="BQ91" s="72">
        <v>35.582076923076926</v>
      </c>
      <c r="BR91" s="72">
        <v>35.678901960784309</v>
      </c>
    </row>
    <row r="92" spans="13:70">
      <c r="M92" s="72">
        <v>91</v>
      </c>
      <c r="O92" s="77">
        <v>93.001000000000005</v>
      </c>
      <c r="P92" s="76">
        <v>1.25</v>
      </c>
      <c r="Q92" s="76">
        <v>1.35</v>
      </c>
      <c r="R92" s="75">
        <v>1.33</v>
      </c>
      <c r="S92" s="75">
        <v>1.38</v>
      </c>
      <c r="T92" s="75">
        <v>1.04</v>
      </c>
      <c r="U92" s="75">
        <v>1.21</v>
      </c>
      <c r="V92" s="76">
        <v>1.32</v>
      </c>
      <c r="W92" s="77">
        <v>1E-3</v>
      </c>
      <c r="X92" s="77"/>
      <c r="Y92" s="75">
        <v>1.22</v>
      </c>
      <c r="Z92" s="76">
        <v>1.22</v>
      </c>
      <c r="AA92" s="76">
        <v>1.24</v>
      </c>
      <c r="AB92" s="75">
        <v>1.1599999999999999</v>
      </c>
      <c r="AC92" s="75">
        <v>1.19</v>
      </c>
      <c r="AD92" s="75">
        <v>1.2</v>
      </c>
      <c r="AE92" s="77"/>
      <c r="AF92" s="77"/>
      <c r="AG92" s="77"/>
      <c r="AH92" s="75">
        <v>1.98</v>
      </c>
      <c r="AI92" s="77"/>
      <c r="AJ92" s="76">
        <v>1.44</v>
      </c>
      <c r="AP92" s="72">
        <v>91</v>
      </c>
      <c r="AQ92" s="76">
        <v>1.44</v>
      </c>
      <c r="AR92" s="72">
        <f t="shared" si="7"/>
        <v>1.4406000000000001</v>
      </c>
      <c r="AS92" s="72">
        <f t="shared" si="8"/>
        <v>-6.0000000000015596E-4</v>
      </c>
      <c r="AU92" s="74"/>
      <c r="AV92" s="72">
        <v>110</v>
      </c>
      <c r="BN92" s="72">
        <v>1016.9278431372547</v>
      </c>
      <c r="BO92" s="72">
        <v>26.94408695652174</v>
      </c>
      <c r="BP92" s="72">
        <v>27.0245</v>
      </c>
      <c r="BQ92" s="72">
        <v>35.585153846153844</v>
      </c>
      <c r="BR92" s="72">
        <v>35.68341176470588</v>
      </c>
    </row>
    <row r="93" spans="13:70">
      <c r="M93" s="72">
        <v>92</v>
      </c>
      <c r="O93" s="77">
        <v>93.119</v>
      </c>
      <c r="P93" s="75">
        <v>1.29</v>
      </c>
      <c r="Q93" s="75">
        <v>1.36</v>
      </c>
      <c r="R93" s="76">
        <v>1.28</v>
      </c>
      <c r="S93" s="76">
        <v>1.31</v>
      </c>
      <c r="T93" s="75">
        <v>1</v>
      </c>
      <c r="U93" s="75">
        <v>1.21</v>
      </c>
      <c r="V93" s="75">
        <v>1.36</v>
      </c>
      <c r="W93" s="77">
        <v>8.9999999999999993E-3</v>
      </c>
      <c r="X93" s="77"/>
      <c r="Y93" s="76">
        <v>1.1599999999999999</v>
      </c>
      <c r="Z93" s="75">
        <v>1.23</v>
      </c>
      <c r="AA93" s="76">
        <v>1.25</v>
      </c>
      <c r="AB93" s="75">
        <v>1.1399999999999999</v>
      </c>
      <c r="AC93" s="75">
        <v>1.22</v>
      </c>
      <c r="AD93" s="75">
        <v>1.1299999999999999</v>
      </c>
      <c r="AE93" s="77"/>
      <c r="AF93" s="77"/>
      <c r="AG93" s="77"/>
      <c r="AH93" s="75">
        <v>1.95</v>
      </c>
      <c r="AI93" s="77"/>
      <c r="AJ93" s="75">
        <v>1.47</v>
      </c>
      <c r="AP93" s="72">
        <v>92</v>
      </c>
      <c r="AQ93" s="75">
        <v>1.47</v>
      </c>
      <c r="AR93" s="72">
        <f t="shared" si="7"/>
        <v>1.4406000000000001</v>
      </c>
      <c r="AS93" s="72">
        <f t="shared" si="8"/>
        <v>2.9399999999999871E-2</v>
      </c>
      <c r="AU93" s="74"/>
      <c r="AV93" s="72">
        <v>111</v>
      </c>
      <c r="BN93" s="72">
        <v>1018.6023529411768</v>
      </c>
      <c r="BO93" s="72">
        <v>26.94104347826087</v>
      </c>
      <c r="BP93" s="72">
        <v>27.023499999999999</v>
      </c>
      <c r="BQ93" s="72">
        <v>35.540153846153842</v>
      </c>
      <c r="BR93" s="72">
        <v>35.682039215686274</v>
      </c>
    </row>
    <row r="94" spans="13:70">
      <c r="M94" s="72">
        <v>93</v>
      </c>
      <c r="O94" s="77">
        <v>93.052999999999997</v>
      </c>
      <c r="P94" s="76">
        <v>1.25</v>
      </c>
      <c r="Q94" s="75">
        <v>1.38</v>
      </c>
      <c r="R94" s="75">
        <v>1.32</v>
      </c>
      <c r="S94" s="75">
        <v>1.35</v>
      </c>
      <c r="T94" s="75">
        <v>1.03</v>
      </c>
      <c r="U94" s="76">
        <v>1.17</v>
      </c>
      <c r="V94" s="75">
        <v>1.39</v>
      </c>
      <c r="W94" s="77">
        <v>3.0000000000000001E-3</v>
      </c>
      <c r="X94" s="77"/>
      <c r="Y94" s="75">
        <v>1.2</v>
      </c>
      <c r="Z94" s="75">
        <v>1.24</v>
      </c>
      <c r="AA94" s="75">
        <v>1.3</v>
      </c>
      <c r="AB94" s="75">
        <v>1.1499999999999999</v>
      </c>
      <c r="AC94" s="75">
        <v>1.25</v>
      </c>
      <c r="AD94" s="75">
        <v>1.1299999999999999</v>
      </c>
      <c r="AE94" s="77"/>
      <c r="AF94" s="77"/>
      <c r="AG94" s="77"/>
      <c r="AH94" s="75">
        <v>1.98</v>
      </c>
      <c r="AI94" s="77"/>
      <c r="AJ94" s="76">
        <v>1.42</v>
      </c>
      <c r="AP94" s="72">
        <v>93</v>
      </c>
      <c r="AQ94" s="76">
        <v>1.42</v>
      </c>
      <c r="AR94" s="72">
        <f t="shared" si="7"/>
        <v>1.4406000000000001</v>
      </c>
      <c r="AS94" s="72">
        <f t="shared" si="8"/>
        <v>-2.0600000000000174E-2</v>
      </c>
      <c r="AU94" s="74"/>
      <c r="AV94" s="72">
        <v>112</v>
      </c>
      <c r="BN94" s="72">
        <v>1016.8729411764709</v>
      </c>
      <c r="BO94" s="72">
        <v>26.907130434782609</v>
      </c>
      <c r="BP94" s="72">
        <v>27.05</v>
      </c>
      <c r="BQ94" s="72">
        <v>35.514000000000003</v>
      </c>
      <c r="BR94" s="72">
        <v>35.666745098039215</v>
      </c>
    </row>
    <row r="95" spans="13:70">
      <c r="M95" s="72">
        <v>94</v>
      </c>
      <c r="O95" s="77">
        <v>93.124000000000009</v>
      </c>
      <c r="P95" s="75">
        <v>1.32</v>
      </c>
      <c r="Q95" s="75">
        <v>1.36</v>
      </c>
      <c r="R95" s="76">
        <v>1.28</v>
      </c>
      <c r="S95" s="75">
        <v>1.37</v>
      </c>
      <c r="T95" s="75">
        <v>1</v>
      </c>
      <c r="U95" s="75">
        <v>1.22</v>
      </c>
      <c r="V95" s="76">
        <v>1.32</v>
      </c>
      <c r="W95" s="77">
        <v>4.0000000000000001E-3</v>
      </c>
      <c r="X95" s="77"/>
      <c r="Y95" s="75">
        <v>1.22</v>
      </c>
      <c r="Z95" s="76">
        <v>1.2</v>
      </c>
      <c r="AA95" s="76">
        <v>1.25</v>
      </c>
      <c r="AB95" s="75">
        <v>1.1299999999999999</v>
      </c>
      <c r="AC95" s="75">
        <v>1.25</v>
      </c>
      <c r="AD95" s="75">
        <v>1.1499999999999999</v>
      </c>
      <c r="AE95" s="77"/>
      <c r="AF95" s="77"/>
      <c r="AG95" s="77"/>
      <c r="AH95" s="75">
        <v>1.95</v>
      </c>
      <c r="AI95" s="77"/>
      <c r="AJ95" s="76">
        <v>1.43</v>
      </c>
      <c r="AP95" s="72">
        <v>94</v>
      </c>
      <c r="AQ95" s="76">
        <v>1.43</v>
      </c>
      <c r="AR95" s="72">
        <f t="shared" si="7"/>
        <v>1.4406000000000001</v>
      </c>
      <c r="AS95" s="72">
        <f t="shared" si="8"/>
        <v>-1.0600000000000165E-2</v>
      </c>
      <c r="AU95" s="74"/>
      <c r="AV95" s="72">
        <v>113</v>
      </c>
      <c r="BN95" s="72">
        <v>1021.6219607843138</v>
      </c>
      <c r="BO95" s="72">
        <v>26.951478260869564</v>
      </c>
      <c r="BP95" s="72">
        <v>27.045249999999999</v>
      </c>
      <c r="BQ95" s="72">
        <v>35.600153846153844</v>
      </c>
      <c r="BR95" s="72">
        <v>35.686745098039218</v>
      </c>
    </row>
    <row r="96" spans="13:70">
      <c r="M96" s="72">
        <v>95</v>
      </c>
      <c r="O96" s="77">
        <v>93.069000000000003</v>
      </c>
      <c r="P96" s="76">
        <v>1.27</v>
      </c>
      <c r="Q96" s="76">
        <v>1.35</v>
      </c>
      <c r="R96" s="76">
        <v>1.29</v>
      </c>
      <c r="S96" s="76">
        <v>1.33</v>
      </c>
      <c r="T96" s="76">
        <v>0.99</v>
      </c>
      <c r="U96" s="76">
        <v>1.18</v>
      </c>
      <c r="V96" s="75">
        <v>1.38</v>
      </c>
      <c r="W96" s="77">
        <v>8.9999999999999993E-3</v>
      </c>
      <c r="X96" s="77"/>
      <c r="Y96" s="76">
        <v>1.1599999999999999</v>
      </c>
      <c r="Z96" s="76">
        <v>1.2</v>
      </c>
      <c r="AA96" s="76">
        <v>1.25</v>
      </c>
      <c r="AB96" s="75">
        <v>1.1399999999999999</v>
      </c>
      <c r="AC96" s="75">
        <v>1.22</v>
      </c>
      <c r="AD96" s="75">
        <v>1.18</v>
      </c>
      <c r="AE96" s="77"/>
      <c r="AF96" s="77"/>
      <c r="AG96" s="77"/>
      <c r="AH96" s="75">
        <v>1.97</v>
      </c>
      <c r="AI96" s="77"/>
      <c r="AJ96" s="76">
        <v>1.44</v>
      </c>
      <c r="AP96" s="72">
        <v>95</v>
      </c>
      <c r="AQ96" s="76">
        <v>1.44</v>
      </c>
      <c r="AR96" s="72">
        <f t="shared" si="7"/>
        <v>1.4406000000000001</v>
      </c>
      <c r="AS96" s="72">
        <f t="shared" si="8"/>
        <v>-6.0000000000015596E-4</v>
      </c>
      <c r="AU96" s="74"/>
      <c r="AV96" s="72">
        <v>114</v>
      </c>
      <c r="BN96" s="72">
        <v>1017.1200000000001</v>
      </c>
      <c r="BO96" s="72">
        <v>26.965391304347825</v>
      </c>
      <c r="BP96" s="72">
        <v>27.016749999999998</v>
      </c>
      <c r="BQ96" s="72">
        <v>35.553230769230765</v>
      </c>
      <c r="BR96" s="72">
        <v>35.693019607843134</v>
      </c>
    </row>
    <row r="97" spans="13:70">
      <c r="M97" s="72">
        <v>96</v>
      </c>
      <c r="O97" s="77">
        <v>93.105999999999995</v>
      </c>
      <c r="P97" s="76">
        <v>1.23</v>
      </c>
      <c r="Q97" s="75">
        <v>1.36</v>
      </c>
      <c r="R97" s="75">
        <v>1.33</v>
      </c>
      <c r="S97" s="75">
        <v>1.38</v>
      </c>
      <c r="T97" s="75">
        <v>1</v>
      </c>
      <c r="U97" s="75">
        <v>1.22</v>
      </c>
      <c r="V97" s="76">
        <v>1.29</v>
      </c>
      <c r="W97" s="77">
        <v>6.0000000000000001E-3</v>
      </c>
      <c r="X97" s="77"/>
      <c r="Y97" s="75">
        <v>1.22</v>
      </c>
      <c r="Z97" s="75">
        <v>1.24</v>
      </c>
      <c r="AA97" s="75">
        <v>1.3</v>
      </c>
      <c r="AB97" s="75">
        <v>1.1599999999999999</v>
      </c>
      <c r="AC97" s="75">
        <v>1.25</v>
      </c>
      <c r="AD97" s="75">
        <v>1.1599999999999999</v>
      </c>
      <c r="AE97" s="77"/>
      <c r="AF97" s="77"/>
      <c r="AG97" s="77"/>
      <c r="AH97" s="75">
        <v>1.95</v>
      </c>
      <c r="AI97" s="77"/>
      <c r="AJ97" s="75">
        <v>1.47</v>
      </c>
      <c r="AP97" s="72">
        <v>96</v>
      </c>
      <c r="AQ97" s="75">
        <v>1.47</v>
      </c>
      <c r="AR97" s="72">
        <f t="shared" si="7"/>
        <v>1.4406000000000001</v>
      </c>
      <c r="AS97" s="72">
        <f t="shared" si="8"/>
        <v>2.9399999999999871E-2</v>
      </c>
      <c r="AU97" s="74"/>
      <c r="AV97" s="72">
        <v>115</v>
      </c>
      <c r="BN97" s="72">
        <v>1018.5474509803926</v>
      </c>
      <c r="BO97" s="72">
        <v>26.977565217391305</v>
      </c>
      <c r="BP97" s="72">
        <v>27.045500000000001</v>
      </c>
      <c r="BQ97" s="72">
        <v>35.560538461538464</v>
      </c>
      <c r="BR97" s="72">
        <v>35.691254901960782</v>
      </c>
    </row>
    <row r="98" spans="13:70">
      <c r="M98" s="72">
        <v>97</v>
      </c>
      <c r="O98" s="77">
        <v>93.087999999999994</v>
      </c>
      <c r="P98" s="75">
        <v>1.3</v>
      </c>
      <c r="Q98" s="75">
        <v>1.36</v>
      </c>
      <c r="R98" s="76">
        <v>1.27</v>
      </c>
      <c r="S98" s="76">
        <v>1.32</v>
      </c>
      <c r="T98" s="75">
        <v>1</v>
      </c>
      <c r="U98" s="75">
        <v>1.21</v>
      </c>
      <c r="V98" s="75">
        <v>1.35</v>
      </c>
      <c r="W98" s="77">
        <v>8.0000000000000002E-3</v>
      </c>
      <c r="X98" s="77"/>
      <c r="Y98" s="76">
        <v>1.19</v>
      </c>
      <c r="Z98" s="76">
        <v>1.22</v>
      </c>
      <c r="AA98" s="76">
        <v>1.24</v>
      </c>
      <c r="AB98" s="75">
        <v>1.1000000000000001</v>
      </c>
      <c r="AC98" s="75">
        <v>1.17</v>
      </c>
      <c r="AD98" s="75">
        <v>1.18</v>
      </c>
      <c r="AE98" s="77"/>
      <c r="AF98" s="77"/>
      <c r="AG98" s="77"/>
      <c r="AH98" s="75">
        <v>1.96</v>
      </c>
      <c r="AI98" s="77"/>
      <c r="AJ98" s="76">
        <v>1.43</v>
      </c>
      <c r="AP98" s="72">
        <v>97</v>
      </c>
      <c r="AQ98" s="76">
        <v>1.43</v>
      </c>
      <c r="AR98" s="72">
        <f t="shared" si="7"/>
        <v>1.4406000000000001</v>
      </c>
      <c r="AS98" s="72">
        <f t="shared" si="8"/>
        <v>-1.0600000000000165E-2</v>
      </c>
      <c r="AU98" s="74"/>
      <c r="AV98" s="72">
        <v>116</v>
      </c>
      <c r="BN98" s="72">
        <v>1021.6219607843138</v>
      </c>
      <c r="BO98" s="72">
        <v>26.914521739130432</v>
      </c>
      <c r="BP98" s="72">
        <v>27.0535</v>
      </c>
      <c r="BQ98" s="72">
        <v>35.444769230769232</v>
      </c>
      <c r="BR98" s="72">
        <v>35.668313725490194</v>
      </c>
    </row>
    <row r="99" spans="13:70">
      <c r="M99" s="72">
        <v>98</v>
      </c>
      <c r="O99" s="77">
        <v>93.198999999999998</v>
      </c>
      <c r="P99" s="76">
        <v>1.28</v>
      </c>
      <c r="Q99" s="76">
        <v>1.32</v>
      </c>
      <c r="R99" s="76">
        <v>1.26</v>
      </c>
      <c r="S99" s="75">
        <v>1.38</v>
      </c>
      <c r="T99" s="76">
        <v>0.98</v>
      </c>
      <c r="U99" s="76">
        <v>1.18</v>
      </c>
      <c r="V99" s="76">
        <v>1.3</v>
      </c>
      <c r="W99" s="77">
        <v>8.9999999999999993E-3</v>
      </c>
      <c r="X99" s="77"/>
      <c r="Y99" s="76">
        <v>1.18</v>
      </c>
      <c r="Z99" s="75">
        <v>1.25</v>
      </c>
      <c r="AA99" s="76">
        <v>1.24</v>
      </c>
      <c r="AB99" s="75">
        <v>1.18</v>
      </c>
      <c r="AC99" s="75">
        <v>1.2</v>
      </c>
      <c r="AD99" s="75">
        <v>1.22</v>
      </c>
      <c r="AE99" s="77"/>
      <c r="AF99" s="77"/>
      <c r="AG99" s="77"/>
      <c r="AH99" s="75">
        <v>1.98</v>
      </c>
      <c r="AI99" s="77"/>
      <c r="AJ99" s="75">
        <v>1.45</v>
      </c>
      <c r="AP99" s="72">
        <v>98</v>
      </c>
      <c r="AQ99" s="75">
        <v>1.45</v>
      </c>
      <c r="AR99" s="72">
        <f t="shared" si="7"/>
        <v>1.4406000000000001</v>
      </c>
      <c r="AS99" s="72">
        <f t="shared" si="8"/>
        <v>9.3999999999998529E-3</v>
      </c>
      <c r="AU99" s="74"/>
      <c r="AV99" s="72">
        <v>117</v>
      </c>
      <c r="BN99" s="72">
        <v>1016.6945098039216</v>
      </c>
      <c r="BO99" s="72">
        <v>26.980608695652169</v>
      </c>
      <c r="BP99" s="72">
        <v>27.05125</v>
      </c>
      <c r="BQ99" s="72">
        <v>35.568615384615384</v>
      </c>
      <c r="BR99" s="72">
        <v>35.654980392156865</v>
      </c>
    </row>
    <row r="100" spans="13:70">
      <c r="M100" s="72">
        <v>99</v>
      </c>
      <c r="O100" s="77">
        <v>93.003</v>
      </c>
      <c r="P100" s="75">
        <v>1.33</v>
      </c>
      <c r="Q100" s="76">
        <v>1.34</v>
      </c>
      <c r="R100" s="76">
        <v>1.29</v>
      </c>
      <c r="S100" s="76">
        <v>1.33</v>
      </c>
      <c r="T100" s="75">
        <v>1</v>
      </c>
      <c r="U100" s="75">
        <v>1.22</v>
      </c>
      <c r="V100" s="75">
        <v>1.36</v>
      </c>
      <c r="W100" s="77">
        <v>3.0000000000000001E-3</v>
      </c>
      <c r="X100" s="77"/>
      <c r="Y100" s="75">
        <v>1.21</v>
      </c>
      <c r="Z100" s="76">
        <v>1.19</v>
      </c>
      <c r="AA100" s="76">
        <v>1.25</v>
      </c>
      <c r="AB100" s="75">
        <v>1.1200000000000001</v>
      </c>
      <c r="AC100" s="75">
        <v>1.24</v>
      </c>
      <c r="AD100" s="75">
        <v>1.21</v>
      </c>
      <c r="AE100" s="77"/>
      <c r="AF100" s="77"/>
      <c r="AG100" s="77"/>
      <c r="AH100" s="75">
        <v>1.95</v>
      </c>
      <c r="AI100" s="77"/>
      <c r="AJ100" s="76">
        <v>1.42</v>
      </c>
      <c r="AP100" s="72">
        <v>99</v>
      </c>
      <c r="AQ100" s="76">
        <v>1.42</v>
      </c>
      <c r="AR100" s="72">
        <f t="shared" si="7"/>
        <v>1.4406000000000001</v>
      </c>
      <c r="AS100" s="72">
        <f t="shared" si="8"/>
        <v>-2.0600000000000174E-2</v>
      </c>
      <c r="AU100" s="74"/>
      <c r="AV100" s="72">
        <v>118</v>
      </c>
      <c r="BN100" s="72">
        <v>1018.4788235294117</v>
      </c>
      <c r="BO100" s="72">
        <v>26.939739130434781</v>
      </c>
      <c r="BP100" s="72">
        <v>27.021999999999998</v>
      </c>
      <c r="BQ100" s="72">
        <v>35.529384615384615</v>
      </c>
      <c r="BR100" s="72">
        <v>35.698901960784312</v>
      </c>
    </row>
    <row r="101" spans="13:70">
      <c r="M101" s="72">
        <v>100</v>
      </c>
      <c r="O101" s="77">
        <v>93.177999999999997</v>
      </c>
      <c r="P101" s="76">
        <v>1.24</v>
      </c>
      <c r="Q101" s="75">
        <v>1.39</v>
      </c>
      <c r="R101" s="75">
        <v>1.32</v>
      </c>
      <c r="S101" s="75">
        <v>1.35</v>
      </c>
      <c r="T101" s="75">
        <v>1.03</v>
      </c>
      <c r="U101" s="76">
        <v>1.1599999999999999</v>
      </c>
      <c r="V101" s="75">
        <v>1.34</v>
      </c>
      <c r="W101" s="77">
        <v>8.0000000000000002E-3</v>
      </c>
      <c r="X101" s="77"/>
      <c r="Y101" s="75">
        <v>1.22</v>
      </c>
      <c r="Z101" s="76">
        <v>1.22</v>
      </c>
      <c r="AA101" s="75">
        <v>1.3</v>
      </c>
      <c r="AB101" s="75">
        <v>1.1499999999999999</v>
      </c>
      <c r="AC101" s="75">
        <v>1.21</v>
      </c>
      <c r="AD101" s="75">
        <v>1.1499999999999999</v>
      </c>
      <c r="AE101" s="77"/>
      <c r="AF101" s="77"/>
      <c r="AG101" s="77"/>
      <c r="AH101" s="75">
        <v>1.96</v>
      </c>
      <c r="AI101" s="77"/>
      <c r="AJ101" s="76">
        <v>1.43</v>
      </c>
      <c r="AP101" s="72">
        <v>100</v>
      </c>
      <c r="AQ101" s="76">
        <v>1.43</v>
      </c>
      <c r="AR101" s="72">
        <f t="shared" si="7"/>
        <v>1.4406000000000001</v>
      </c>
      <c r="AS101" s="72">
        <f t="shared" si="8"/>
        <v>-1.0600000000000165E-2</v>
      </c>
      <c r="AU101" s="74"/>
      <c r="AV101" s="72">
        <v>119</v>
      </c>
      <c r="BN101" s="72">
        <v>1017.0239215686277</v>
      </c>
      <c r="BO101" s="72">
        <v>26.961478260869562</v>
      </c>
      <c r="BP101" s="72">
        <v>27.005000000000003</v>
      </c>
      <c r="BQ101" s="72">
        <v>35.577846153846153</v>
      </c>
      <c r="BR101" s="72">
        <v>35.674980392156861</v>
      </c>
    </row>
    <row r="102" spans="13:70">
      <c r="M102" s="72">
        <v>101</v>
      </c>
      <c r="O102" s="77">
        <v>93.144000000000005</v>
      </c>
      <c r="P102" s="76">
        <v>1.28</v>
      </c>
      <c r="Q102" s="76">
        <v>1.34</v>
      </c>
      <c r="R102" s="75">
        <v>1.34</v>
      </c>
      <c r="S102" s="76">
        <v>1.3</v>
      </c>
      <c r="T102" s="76">
        <v>0.96</v>
      </c>
      <c r="U102" s="76">
        <v>1.2</v>
      </c>
      <c r="V102" s="75">
        <v>1.37</v>
      </c>
      <c r="W102" s="77">
        <v>4.0000000000000001E-3</v>
      </c>
      <c r="X102" s="77"/>
      <c r="Y102" s="76">
        <v>1.19</v>
      </c>
      <c r="Z102" s="76">
        <v>1.21</v>
      </c>
      <c r="AA102" s="76">
        <v>1.25</v>
      </c>
      <c r="AB102" s="75">
        <v>1.1100000000000001</v>
      </c>
      <c r="AC102" s="75">
        <v>1.22</v>
      </c>
      <c r="AD102" s="75">
        <v>1.19</v>
      </c>
      <c r="AE102" s="77"/>
      <c r="AF102" s="77"/>
      <c r="AG102" s="77"/>
      <c r="AH102" s="75">
        <v>1.95</v>
      </c>
      <c r="AI102" s="77"/>
      <c r="AJ102" s="76">
        <v>1.43</v>
      </c>
      <c r="AP102" s="72">
        <v>101</v>
      </c>
      <c r="AQ102" s="76">
        <v>1.43</v>
      </c>
      <c r="AR102" s="72">
        <f t="shared" si="7"/>
        <v>1.4406000000000001</v>
      </c>
      <c r="AS102" s="72">
        <f t="shared" si="8"/>
        <v>-1.0600000000000165E-2</v>
      </c>
      <c r="AU102" s="74"/>
      <c r="AV102" s="72">
        <v>120</v>
      </c>
      <c r="BN102" s="72">
        <v>1020.7984313725489</v>
      </c>
      <c r="BO102" s="72">
        <v>26.951913043478257</v>
      </c>
      <c r="BP102" s="72">
        <v>27.035499999999999</v>
      </c>
      <c r="BQ102" s="72">
        <v>35.57361538461538</v>
      </c>
      <c r="BR102" s="72">
        <v>35.699686274509801</v>
      </c>
    </row>
    <row r="103" spans="13:70">
      <c r="M103" s="72">
        <v>102</v>
      </c>
      <c r="O103" s="77">
        <v>93.058999999999997</v>
      </c>
      <c r="P103" s="75">
        <v>1.29</v>
      </c>
      <c r="Q103" s="76">
        <v>1.35</v>
      </c>
      <c r="R103" s="76">
        <v>1.3</v>
      </c>
      <c r="S103" s="76">
        <v>1.3</v>
      </c>
      <c r="T103" s="76">
        <v>0.98</v>
      </c>
      <c r="U103" s="75">
        <v>1.22</v>
      </c>
      <c r="V103" s="76">
        <v>1.3</v>
      </c>
      <c r="W103" s="77">
        <v>8.9999999999999993E-3</v>
      </c>
      <c r="X103" s="77"/>
      <c r="Y103" s="75">
        <v>1.22</v>
      </c>
      <c r="Z103" s="75">
        <v>1.23</v>
      </c>
      <c r="AA103" s="76">
        <v>1.26</v>
      </c>
      <c r="AB103" s="75">
        <v>1.1499999999999999</v>
      </c>
      <c r="AC103" s="75">
        <v>1.24</v>
      </c>
      <c r="AD103" s="75">
        <v>1.18</v>
      </c>
      <c r="AE103" s="77"/>
      <c r="AF103" s="77"/>
      <c r="AG103" s="77"/>
      <c r="AH103" s="75">
        <v>1.95</v>
      </c>
      <c r="AI103" s="77"/>
      <c r="AJ103" s="76">
        <v>1.44</v>
      </c>
      <c r="AP103" s="72">
        <v>102</v>
      </c>
      <c r="AQ103" s="75">
        <v>1.47</v>
      </c>
      <c r="AR103" s="72">
        <f t="shared" si="7"/>
        <v>1.4406000000000001</v>
      </c>
      <c r="AS103" s="72">
        <f t="shared" si="8"/>
        <v>2.9399999999999871E-2</v>
      </c>
      <c r="AU103" s="74"/>
      <c r="AV103" s="72">
        <v>121</v>
      </c>
      <c r="BN103" s="72">
        <v>1016.9141176470591</v>
      </c>
      <c r="BO103" s="72">
        <v>26.963217391304347</v>
      </c>
      <c r="BP103" s="72">
        <v>27.05</v>
      </c>
      <c r="BQ103" s="72">
        <v>35.467846153846153</v>
      </c>
      <c r="BR103" s="72">
        <v>35.660078431372547</v>
      </c>
    </row>
    <row r="104" spans="13:70">
      <c r="M104" s="72">
        <v>103</v>
      </c>
      <c r="O104" s="77">
        <v>93.171000000000006</v>
      </c>
      <c r="P104" s="76">
        <v>1.28</v>
      </c>
      <c r="Q104" s="75">
        <v>1.36</v>
      </c>
      <c r="R104" s="76">
        <v>1.27</v>
      </c>
      <c r="S104" s="75">
        <v>1.37</v>
      </c>
      <c r="T104" s="75">
        <v>1.01</v>
      </c>
      <c r="U104" s="76">
        <v>1.18</v>
      </c>
      <c r="V104" s="75">
        <v>1.35</v>
      </c>
      <c r="W104" s="77">
        <v>1E-3</v>
      </c>
      <c r="X104" s="77"/>
      <c r="Y104" s="75">
        <v>1.22</v>
      </c>
      <c r="Z104" s="76">
        <v>1.19</v>
      </c>
      <c r="AA104" s="76">
        <v>1.27</v>
      </c>
      <c r="AB104" s="75">
        <v>1.1100000000000001</v>
      </c>
      <c r="AC104" s="75">
        <v>1.23</v>
      </c>
      <c r="AD104" s="75">
        <v>1.17</v>
      </c>
      <c r="AE104" s="77"/>
      <c r="AF104" s="77"/>
      <c r="AG104" s="77"/>
      <c r="AH104" s="75">
        <v>1.98</v>
      </c>
      <c r="AI104" s="77"/>
      <c r="AJ104" s="75">
        <v>1.47</v>
      </c>
      <c r="AP104" s="72">
        <v>103</v>
      </c>
      <c r="AQ104" s="75">
        <v>1.47</v>
      </c>
      <c r="AR104" s="72">
        <f t="shared" si="7"/>
        <v>1.4406000000000001</v>
      </c>
      <c r="AS104" s="72">
        <f t="shared" si="8"/>
        <v>2.9399999999999871E-2</v>
      </c>
      <c r="AU104" s="74"/>
      <c r="AV104" s="72">
        <v>122</v>
      </c>
      <c r="BN104" s="72">
        <v>1016.557254901961</v>
      </c>
      <c r="BO104" s="72">
        <v>26.938869565217392</v>
      </c>
      <c r="BP104" s="72">
        <v>27.080000000000002</v>
      </c>
      <c r="BQ104" s="72">
        <v>35.576692307692305</v>
      </c>
      <c r="BR104" s="72">
        <v>35.643215686274509</v>
      </c>
    </row>
    <row r="105" spans="13:70">
      <c r="M105" s="72">
        <v>104</v>
      </c>
      <c r="O105" s="77">
        <v>93.159000000000006</v>
      </c>
      <c r="P105" s="76">
        <v>1.27</v>
      </c>
      <c r="Q105" s="75">
        <v>1.39</v>
      </c>
      <c r="R105" s="76">
        <v>1.3</v>
      </c>
      <c r="S105" s="75">
        <v>1.34</v>
      </c>
      <c r="T105" s="76">
        <v>0.99</v>
      </c>
      <c r="U105" s="75">
        <v>1.23</v>
      </c>
      <c r="V105" s="76">
        <v>1.33</v>
      </c>
      <c r="W105" s="77">
        <v>8.9999999999999993E-3</v>
      </c>
      <c r="X105" s="77"/>
      <c r="Y105" s="76">
        <v>1.1599999999999999</v>
      </c>
      <c r="Z105" s="75">
        <v>1.24</v>
      </c>
      <c r="AA105" s="75">
        <v>1.29</v>
      </c>
      <c r="AB105" s="75">
        <v>1.1299999999999999</v>
      </c>
      <c r="AC105" s="75">
        <v>1.2</v>
      </c>
      <c r="AD105" s="75">
        <v>1.21</v>
      </c>
      <c r="AE105" s="77"/>
      <c r="AF105" s="77"/>
      <c r="AG105" s="77"/>
      <c r="AH105" s="75">
        <v>1.97</v>
      </c>
      <c r="AI105" s="77"/>
      <c r="AJ105" s="76">
        <v>1.43</v>
      </c>
      <c r="AP105" s="72">
        <v>104</v>
      </c>
      <c r="AQ105" s="76">
        <v>1.43</v>
      </c>
      <c r="AR105" s="72">
        <f t="shared" si="7"/>
        <v>1.4406000000000001</v>
      </c>
      <c r="AS105" s="72">
        <f t="shared" si="8"/>
        <v>-1.0600000000000165E-2</v>
      </c>
      <c r="AU105" s="74"/>
      <c r="AV105" s="72">
        <v>123</v>
      </c>
      <c r="BN105" s="72">
        <v>1017.3258823529411</v>
      </c>
      <c r="BO105" s="72">
        <v>26.947999999999997</v>
      </c>
      <c r="BP105" s="72">
        <v>27.033000000000001</v>
      </c>
      <c r="BQ105" s="72">
        <v>35.58669230769231</v>
      </c>
      <c r="BR105" s="72">
        <v>35.673019607843138</v>
      </c>
    </row>
    <row r="106" spans="13:70">
      <c r="M106" s="72">
        <v>105</v>
      </c>
      <c r="O106" s="77">
        <v>93.052999999999997</v>
      </c>
      <c r="P106" s="75">
        <v>1.31</v>
      </c>
      <c r="Q106" s="76">
        <v>1.32</v>
      </c>
      <c r="R106" s="75">
        <v>1.34</v>
      </c>
      <c r="S106" s="76">
        <v>1.31</v>
      </c>
      <c r="T106" s="76">
        <v>0.99</v>
      </c>
      <c r="U106" s="76">
        <v>1.19</v>
      </c>
      <c r="V106" s="75">
        <v>1.39</v>
      </c>
      <c r="W106" s="77">
        <v>3.0000000000000001E-3</v>
      </c>
      <c r="X106" s="77"/>
      <c r="Y106" s="76">
        <v>1.18</v>
      </c>
      <c r="Z106" s="76">
        <v>1.22</v>
      </c>
      <c r="AA106" s="76">
        <v>1.27</v>
      </c>
      <c r="AB106" s="75">
        <v>1.17</v>
      </c>
      <c r="AC106" s="75">
        <v>1.25</v>
      </c>
      <c r="AD106" s="75">
        <v>1.1599999999999999</v>
      </c>
      <c r="AE106" s="77"/>
      <c r="AF106" s="77"/>
      <c r="AG106" s="77"/>
      <c r="AH106" s="75">
        <v>1.96</v>
      </c>
      <c r="AI106" s="77"/>
      <c r="AJ106" s="76">
        <v>1.44</v>
      </c>
      <c r="AP106" s="72">
        <v>105</v>
      </c>
      <c r="AQ106" s="76">
        <v>1.44</v>
      </c>
      <c r="AR106" s="72">
        <f t="shared" si="7"/>
        <v>1.4406000000000001</v>
      </c>
      <c r="AS106" s="72">
        <f t="shared" si="8"/>
        <v>-6.0000000000015596E-4</v>
      </c>
      <c r="AU106" s="74"/>
      <c r="AV106" s="72">
        <v>124</v>
      </c>
      <c r="BN106" s="72">
        <v>1017.0376470588237</v>
      </c>
      <c r="BO106" s="72">
        <v>26.933652173913043</v>
      </c>
      <c r="BP106" s="72">
        <v>27.045249999999999</v>
      </c>
      <c r="BQ106" s="72">
        <v>35.565153846153848</v>
      </c>
      <c r="BR106" s="72">
        <v>35.690078431372548</v>
      </c>
    </row>
    <row r="107" spans="13:70">
      <c r="M107" s="72">
        <v>106</v>
      </c>
      <c r="O107" s="77">
        <v>93.204000000000008</v>
      </c>
      <c r="P107" s="76">
        <v>1.27</v>
      </c>
      <c r="Q107" s="75">
        <v>1.36</v>
      </c>
      <c r="R107" s="75">
        <v>1.34</v>
      </c>
      <c r="S107" s="75">
        <v>1.34</v>
      </c>
      <c r="T107" s="75">
        <v>1.04</v>
      </c>
      <c r="U107" s="75">
        <v>1.26</v>
      </c>
      <c r="V107" s="75">
        <v>1.35</v>
      </c>
      <c r="W107" s="77">
        <v>4.0000000000000001E-3</v>
      </c>
      <c r="X107" s="77"/>
      <c r="Y107" s="75">
        <v>1.2</v>
      </c>
      <c r="Z107" s="75">
        <v>1.23</v>
      </c>
      <c r="AA107" s="75">
        <v>1.3</v>
      </c>
      <c r="AB107" s="75">
        <v>1.1200000000000001</v>
      </c>
      <c r="AC107" s="75">
        <v>1.2</v>
      </c>
      <c r="AD107" s="75">
        <v>1.22</v>
      </c>
      <c r="AE107" s="77"/>
      <c r="AF107" s="77"/>
      <c r="AG107" s="77"/>
      <c r="AH107" s="75">
        <v>1.98</v>
      </c>
      <c r="AI107" s="77"/>
      <c r="AJ107" s="76">
        <v>1.44</v>
      </c>
      <c r="AP107" s="72">
        <v>106</v>
      </c>
      <c r="AQ107" s="76">
        <v>1.44</v>
      </c>
      <c r="AR107" s="72">
        <f t="shared" si="7"/>
        <v>1.4406000000000001</v>
      </c>
      <c r="AS107" s="72">
        <f t="shared" si="8"/>
        <v>-6.0000000000015596E-4</v>
      </c>
      <c r="AU107" s="74"/>
      <c r="AV107" s="72">
        <v>125</v>
      </c>
      <c r="BN107" s="72">
        <v>1017.4905882352939</v>
      </c>
      <c r="BO107" s="72">
        <v>26.907130434782609</v>
      </c>
      <c r="BP107" s="72">
        <v>26.9895</v>
      </c>
      <c r="BQ107" s="72">
        <v>35.573230769230769</v>
      </c>
      <c r="BR107" s="72">
        <v>35.664588235294119</v>
      </c>
    </row>
    <row r="108" spans="13:70">
      <c r="M108" s="72">
        <v>107</v>
      </c>
      <c r="O108" s="77">
        <v>93.177999999999997</v>
      </c>
      <c r="P108" s="76">
        <v>1.29</v>
      </c>
      <c r="Q108" s="76">
        <v>1.32</v>
      </c>
      <c r="R108" s="76">
        <v>1.28</v>
      </c>
      <c r="S108" s="76">
        <v>1.31</v>
      </c>
      <c r="T108" s="76">
        <v>0.96</v>
      </c>
      <c r="U108" s="76">
        <v>1.18</v>
      </c>
      <c r="V108" s="76">
        <v>1.3</v>
      </c>
      <c r="W108" s="77">
        <v>8.0000000000000002E-3</v>
      </c>
      <c r="X108" s="77"/>
      <c r="Y108" s="75">
        <v>1.21</v>
      </c>
      <c r="Z108" s="75">
        <v>1.25</v>
      </c>
      <c r="AA108" s="76">
        <v>1.24</v>
      </c>
      <c r="AB108" s="75">
        <v>1.17</v>
      </c>
      <c r="AC108" s="75">
        <v>1.19</v>
      </c>
      <c r="AD108" s="75">
        <v>1.1200000000000001</v>
      </c>
      <c r="AE108" s="77"/>
      <c r="AF108" s="77"/>
      <c r="AG108" s="77"/>
      <c r="AH108" s="75">
        <v>1.95</v>
      </c>
      <c r="AI108" s="77"/>
      <c r="AJ108" s="76">
        <v>1.42</v>
      </c>
      <c r="AP108" s="72">
        <v>107</v>
      </c>
      <c r="AQ108" s="76">
        <v>1.42</v>
      </c>
      <c r="AR108" s="72">
        <f t="shared" si="7"/>
        <v>1.4406000000000001</v>
      </c>
      <c r="AS108" s="72">
        <f t="shared" si="8"/>
        <v>-2.0600000000000174E-2</v>
      </c>
      <c r="AU108" s="74"/>
      <c r="AV108" s="72">
        <v>1</v>
      </c>
      <c r="BN108" s="72">
        <v>1021.6219607843138</v>
      </c>
      <c r="BO108" s="72">
        <v>26.966260869565215</v>
      </c>
      <c r="BP108" s="72">
        <v>27.027999999999999</v>
      </c>
      <c r="BQ108" s="72">
        <v>35.444769230769232</v>
      </c>
      <c r="BR108" s="72">
        <v>35.685372549019604</v>
      </c>
    </row>
    <row r="109" spans="13:70">
      <c r="M109" s="72">
        <v>108</v>
      </c>
      <c r="O109" s="77">
        <v>93.039000000000001</v>
      </c>
      <c r="P109" s="76">
        <v>1.27</v>
      </c>
      <c r="Q109" s="76">
        <v>1.35</v>
      </c>
      <c r="R109" s="75">
        <v>1.32</v>
      </c>
      <c r="S109" s="75">
        <v>1.34</v>
      </c>
      <c r="T109" s="76">
        <v>0.98</v>
      </c>
      <c r="U109" s="76">
        <v>1.19</v>
      </c>
      <c r="V109" s="76">
        <v>1.28</v>
      </c>
      <c r="W109" s="77">
        <v>8.9999999999999993E-3</v>
      </c>
      <c r="X109" s="77"/>
      <c r="Y109" s="75">
        <v>1.2</v>
      </c>
      <c r="Z109" s="76">
        <v>1.22</v>
      </c>
      <c r="AA109" s="76">
        <v>1.27</v>
      </c>
      <c r="AB109" s="75">
        <v>1.1200000000000001</v>
      </c>
      <c r="AC109" s="75">
        <v>1.19</v>
      </c>
      <c r="AD109" s="75">
        <v>1.1499999999999999</v>
      </c>
      <c r="AE109" s="77"/>
      <c r="AF109" s="77"/>
      <c r="AG109" s="77"/>
      <c r="AH109" s="75">
        <v>1.95</v>
      </c>
      <c r="AI109" s="77"/>
      <c r="AJ109" s="75">
        <v>1.48</v>
      </c>
      <c r="AP109" s="72">
        <v>108</v>
      </c>
      <c r="AQ109" s="75">
        <v>1.48</v>
      </c>
      <c r="AR109" s="72">
        <f t="shared" si="7"/>
        <v>1.4406000000000001</v>
      </c>
      <c r="AS109" s="72">
        <f t="shared" si="8"/>
        <v>3.939999999999988E-2</v>
      </c>
      <c r="AU109" s="74"/>
      <c r="AV109" s="72">
        <v>2</v>
      </c>
      <c r="BN109" s="72">
        <v>1017.2023529411765</v>
      </c>
      <c r="BO109" s="72">
        <v>26.977565217391305</v>
      </c>
      <c r="BP109" s="72">
        <v>27.04975</v>
      </c>
      <c r="BQ109" s="72">
        <v>35.552076923076925</v>
      </c>
      <c r="BR109" s="72">
        <v>35.63145098039216</v>
      </c>
    </row>
    <row r="110" spans="13:70">
      <c r="M110" s="72">
        <v>109</v>
      </c>
      <c r="O110" s="77">
        <v>93.171000000000006</v>
      </c>
      <c r="P110" s="75">
        <v>1.29</v>
      </c>
      <c r="Q110" s="75">
        <v>1.36</v>
      </c>
      <c r="R110" s="75">
        <v>1.32</v>
      </c>
      <c r="S110" s="76">
        <v>1.33</v>
      </c>
      <c r="T110" s="76">
        <v>0.99</v>
      </c>
      <c r="U110" s="75">
        <v>1.22</v>
      </c>
      <c r="V110" s="75">
        <v>1.36</v>
      </c>
      <c r="W110" s="77">
        <v>1E-3</v>
      </c>
      <c r="X110" s="77"/>
      <c r="Y110" s="76">
        <v>1.19</v>
      </c>
      <c r="Z110" s="75">
        <v>1.25</v>
      </c>
      <c r="AA110" s="75">
        <v>1.28</v>
      </c>
      <c r="AB110" s="75">
        <v>1.1499999999999999</v>
      </c>
      <c r="AC110" s="75">
        <v>1.2</v>
      </c>
      <c r="AD110" s="75">
        <v>1.21</v>
      </c>
      <c r="AE110" s="77"/>
      <c r="AF110" s="77"/>
      <c r="AG110" s="77"/>
      <c r="AH110" s="75">
        <v>1.94</v>
      </c>
      <c r="AI110" s="77"/>
      <c r="AJ110" s="76">
        <v>1.43</v>
      </c>
      <c r="AP110" s="72">
        <v>109</v>
      </c>
      <c r="AQ110" s="76">
        <v>1.43</v>
      </c>
      <c r="AR110" s="72">
        <f t="shared" si="7"/>
        <v>1.4406000000000001</v>
      </c>
      <c r="AS110" s="72">
        <f t="shared" si="8"/>
        <v>-1.0600000000000165E-2</v>
      </c>
      <c r="AU110" s="74"/>
      <c r="AV110" s="72">
        <v>3</v>
      </c>
      <c r="BN110" s="72">
        <v>1017.9572549019607</v>
      </c>
      <c r="BO110" s="72">
        <v>26.938869565217392</v>
      </c>
      <c r="BP110" s="72">
        <v>27.017250000000001</v>
      </c>
      <c r="BQ110" s="72">
        <v>35.60323076923077</v>
      </c>
      <c r="BR110" s="72">
        <v>35.686941176470583</v>
      </c>
    </row>
    <row r="111" spans="13:70">
      <c r="M111" s="72">
        <v>110</v>
      </c>
      <c r="O111" s="77">
        <v>93.209000000000003</v>
      </c>
      <c r="P111" s="75">
        <v>1.3</v>
      </c>
      <c r="Q111" s="76">
        <v>1.33</v>
      </c>
      <c r="R111" s="76">
        <v>1.26</v>
      </c>
      <c r="S111" s="75">
        <v>1.34</v>
      </c>
      <c r="T111" s="75">
        <v>1</v>
      </c>
      <c r="U111" s="76">
        <v>1.18</v>
      </c>
      <c r="V111" s="75">
        <v>1.38</v>
      </c>
      <c r="W111" s="77">
        <v>8.9999999999999993E-3</v>
      </c>
      <c r="X111" s="77"/>
      <c r="Y111" s="76">
        <v>1.17</v>
      </c>
      <c r="Z111" s="76">
        <v>1.19</v>
      </c>
      <c r="AA111" s="76">
        <v>1.27</v>
      </c>
      <c r="AB111" s="75">
        <v>1.18</v>
      </c>
      <c r="AC111" s="75">
        <v>1.19</v>
      </c>
      <c r="AD111" s="75">
        <v>1.1299999999999999</v>
      </c>
      <c r="AE111" s="77"/>
      <c r="AF111" s="77"/>
      <c r="AG111" s="77"/>
      <c r="AH111" s="75">
        <v>1.97</v>
      </c>
      <c r="AI111" s="77"/>
      <c r="AJ111" s="75">
        <v>1.45</v>
      </c>
      <c r="AP111" s="72">
        <v>110</v>
      </c>
      <c r="AQ111" s="75">
        <v>1.45</v>
      </c>
      <c r="AR111" s="72">
        <f t="shared" si="7"/>
        <v>1.4406000000000001</v>
      </c>
      <c r="AS111" s="72">
        <f t="shared" si="8"/>
        <v>9.3999999999998529E-3</v>
      </c>
      <c r="AU111" s="74"/>
      <c r="AV111" s="72">
        <v>4</v>
      </c>
      <c r="BN111" s="72">
        <v>1017.7925490196079</v>
      </c>
      <c r="BO111" s="72">
        <v>26.928869565217386</v>
      </c>
      <c r="BP111" s="72">
        <v>27.043749999999999</v>
      </c>
      <c r="BQ111" s="72">
        <v>35.444769230769232</v>
      </c>
      <c r="BR111" s="72">
        <v>35.692039215686272</v>
      </c>
    </row>
    <row r="112" spans="13:70">
      <c r="M112" s="72">
        <v>111</v>
      </c>
      <c r="O112" s="77">
        <v>93.022999999999996</v>
      </c>
      <c r="P112" s="76">
        <v>1.29</v>
      </c>
      <c r="Q112" s="76">
        <v>1.35</v>
      </c>
      <c r="R112" s="76">
        <v>1.3</v>
      </c>
      <c r="S112" s="75">
        <v>1.36</v>
      </c>
      <c r="T112" s="76">
        <v>0.99</v>
      </c>
      <c r="U112" s="75">
        <v>1.21</v>
      </c>
      <c r="V112" s="76">
        <v>1.3</v>
      </c>
      <c r="W112" s="77">
        <v>3.0000000000000001E-3</v>
      </c>
      <c r="X112" s="77"/>
      <c r="Y112" s="75">
        <v>1.2</v>
      </c>
      <c r="Z112" s="75">
        <v>1.23</v>
      </c>
      <c r="AA112" s="75">
        <v>1.32</v>
      </c>
      <c r="AB112" s="75">
        <v>1.1299999999999999</v>
      </c>
      <c r="AC112" s="75">
        <v>1.21</v>
      </c>
      <c r="AD112" s="75">
        <v>1.1599999999999999</v>
      </c>
      <c r="AE112" s="77"/>
      <c r="AF112" s="77"/>
      <c r="AG112" s="77"/>
      <c r="AH112" s="75">
        <v>1.96</v>
      </c>
      <c r="AI112" s="77"/>
      <c r="AJ112" s="76">
        <v>1.44</v>
      </c>
      <c r="AP112" s="72">
        <v>111</v>
      </c>
      <c r="AQ112" s="76">
        <v>1.44</v>
      </c>
      <c r="AR112" s="72">
        <f t="shared" si="7"/>
        <v>1.4406000000000001</v>
      </c>
      <c r="AS112" s="72">
        <f t="shared" si="8"/>
        <v>-6.0000000000015596E-4</v>
      </c>
      <c r="AU112" s="74"/>
      <c r="AV112" s="72">
        <v>5</v>
      </c>
      <c r="BN112" s="72">
        <v>1015.9670588235297</v>
      </c>
      <c r="BO112" s="72">
        <v>26.984956521739129</v>
      </c>
      <c r="BP112" s="72">
        <v>26.975000000000001</v>
      </c>
      <c r="BQ112" s="72">
        <v>35.581307692307689</v>
      </c>
      <c r="BR112" s="72">
        <v>35.681058823529412</v>
      </c>
    </row>
    <row r="113" spans="13:70">
      <c r="M113" s="72">
        <v>112</v>
      </c>
      <c r="O113" s="77">
        <v>93.204000000000008</v>
      </c>
      <c r="P113" s="75">
        <v>1.31</v>
      </c>
      <c r="Q113" s="76">
        <v>1.35</v>
      </c>
      <c r="R113" s="76">
        <v>1.3</v>
      </c>
      <c r="S113" s="76">
        <v>1.29</v>
      </c>
      <c r="T113" s="76">
        <v>0.99</v>
      </c>
      <c r="U113" s="76">
        <v>1.17</v>
      </c>
      <c r="V113" s="75">
        <v>1.34</v>
      </c>
      <c r="W113" s="77">
        <v>4.0000000000000001E-3</v>
      </c>
      <c r="X113" s="77"/>
      <c r="Y113" s="75">
        <v>1.21</v>
      </c>
      <c r="Z113" s="76">
        <v>1.21</v>
      </c>
      <c r="AA113" s="76">
        <v>1.27</v>
      </c>
      <c r="AB113" s="75">
        <v>1.17</v>
      </c>
      <c r="AC113" s="75">
        <v>1.25</v>
      </c>
      <c r="AD113" s="75">
        <v>1.19</v>
      </c>
      <c r="AE113" s="77"/>
      <c r="AF113" s="77"/>
      <c r="AG113" s="77"/>
      <c r="AH113" s="75">
        <v>1.95</v>
      </c>
      <c r="AI113" s="77"/>
      <c r="AJ113" s="76">
        <v>1.44</v>
      </c>
      <c r="AP113" s="72">
        <v>112</v>
      </c>
      <c r="AQ113" s="76">
        <v>1.44</v>
      </c>
      <c r="AR113" s="72">
        <f t="shared" si="7"/>
        <v>1.4406000000000001</v>
      </c>
      <c r="AS113" s="72">
        <f t="shared" si="8"/>
        <v>-6.0000000000015596E-4</v>
      </c>
      <c r="AU113" s="74"/>
      <c r="AV113" s="72">
        <v>6</v>
      </c>
      <c r="BN113" s="72">
        <v>1015.8709803921572</v>
      </c>
      <c r="BO113" s="72">
        <v>26.984956521739129</v>
      </c>
      <c r="BP113" s="72">
        <v>27.045749999999998</v>
      </c>
      <c r="BQ113" s="72">
        <v>35.600153846153844</v>
      </c>
      <c r="BR113" s="72">
        <v>35.685176470588232</v>
      </c>
    </row>
    <row r="114" spans="13:70">
      <c r="M114" s="72">
        <v>113</v>
      </c>
      <c r="O114" s="77">
        <v>93.058999999999997</v>
      </c>
      <c r="P114" s="75">
        <v>1.31</v>
      </c>
      <c r="Q114" s="76">
        <v>1.31</v>
      </c>
      <c r="R114" s="75">
        <v>1.33</v>
      </c>
      <c r="S114" s="75">
        <v>1.37</v>
      </c>
      <c r="T114" s="75">
        <v>1.01</v>
      </c>
      <c r="U114" s="75">
        <v>1.24</v>
      </c>
      <c r="V114" s="75">
        <v>1.34</v>
      </c>
      <c r="W114" s="77">
        <v>8.9999999999999993E-3</v>
      </c>
      <c r="X114" s="77"/>
      <c r="Y114" s="75">
        <v>1.22</v>
      </c>
      <c r="Z114" s="75">
        <v>1.24</v>
      </c>
      <c r="AA114" s="75">
        <v>1.29</v>
      </c>
      <c r="AB114" s="75">
        <v>1.1299999999999999</v>
      </c>
      <c r="AC114" s="75">
        <v>1.24</v>
      </c>
      <c r="AD114" s="75">
        <v>1.22</v>
      </c>
      <c r="AE114" s="77"/>
      <c r="AF114" s="77"/>
      <c r="AG114" s="77"/>
      <c r="AH114" s="75">
        <v>1.96</v>
      </c>
      <c r="AI114" s="77"/>
      <c r="AJ114" s="75">
        <v>1.47</v>
      </c>
      <c r="AP114" s="72">
        <v>113</v>
      </c>
      <c r="AQ114" s="75">
        <v>1.47</v>
      </c>
      <c r="AR114" s="72">
        <f t="shared" si="7"/>
        <v>1.4406000000000001</v>
      </c>
      <c r="AS114" s="72">
        <f t="shared" si="8"/>
        <v>2.9399999999999871E-2</v>
      </c>
      <c r="AU114" s="74"/>
      <c r="AV114" s="72">
        <v>7</v>
      </c>
      <c r="BN114" s="72">
        <v>1019.9749019607843</v>
      </c>
      <c r="BO114" s="72">
        <v>26.978434782608694</v>
      </c>
      <c r="BP114" s="72">
        <v>27.045999999999999</v>
      </c>
      <c r="BQ114" s="72">
        <v>35.629384615384616</v>
      </c>
      <c r="BR114" s="72">
        <v>35.678705882352943</v>
      </c>
    </row>
    <row r="115" spans="13:70">
      <c r="M115" s="72">
        <v>114</v>
      </c>
      <c r="O115" s="77">
        <v>93.105999999999995</v>
      </c>
      <c r="P115" s="76">
        <v>1.26</v>
      </c>
      <c r="Q115" s="75">
        <v>1.38</v>
      </c>
      <c r="R115" s="76">
        <v>1.3</v>
      </c>
      <c r="S115" s="76">
        <v>1.31</v>
      </c>
      <c r="T115" s="76">
        <v>0.96</v>
      </c>
      <c r="U115" s="76">
        <v>1.19</v>
      </c>
      <c r="V115" s="76">
        <v>1.32</v>
      </c>
      <c r="W115" s="77">
        <v>6.0000000000000001E-3</v>
      </c>
      <c r="X115" s="77"/>
      <c r="Y115" s="76">
        <v>1.17</v>
      </c>
      <c r="Z115" s="76">
        <v>1.22</v>
      </c>
      <c r="AA115" s="76">
        <v>1.27</v>
      </c>
      <c r="AB115" s="75">
        <v>1.1599999999999999</v>
      </c>
      <c r="AC115" s="75">
        <v>1.23</v>
      </c>
      <c r="AD115" s="75">
        <v>1.21</v>
      </c>
      <c r="AE115" s="77"/>
      <c r="AF115" s="77"/>
      <c r="AG115" s="77"/>
      <c r="AH115" s="75">
        <v>1.98</v>
      </c>
      <c r="AI115" s="77"/>
      <c r="AJ115" s="76">
        <v>1.43</v>
      </c>
      <c r="AP115" s="72">
        <v>114</v>
      </c>
      <c r="AQ115" s="76">
        <v>1.43</v>
      </c>
      <c r="AR115" s="72">
        <f t="shared" si="7"/>
        <v>1.4406000000000001</v>
      </c>
      <c r="AS115" s="72">
        <f t="shared" si="8"/>
        <v>-1.0600000000000165E-2</v>
      </c>
      <c r="AU115" s="74"/>
      <c r="AV115" s="72">
        <v>8</v>
      </c>
      <c r="BN115" s="72">
        <v>1016.4611764705885</v>
      </c>
      <c r="BO115" s="72">
        <v>26.87365217391304</v>
      </c>
      <c r="BP115" s="72">
        <v>27.056999999999999</v>
      </c>
      <c r="BQ115" s="72">
        <v>35.599384615384615</v>
      </c>
      <c r="BR115" s="72">
        <v>35.619686274509803</v>
      </c>
    </row>
    <row r="116" spans="13:70">
      <c r="M116" s="72">
        <v>115</v>
      </c>
      <c r="O116" s="77">
        <v>93.087999999999994</v>
      </c>
      <c r="P116" s="75">
        <v>1.32</v>
      </c>
      <c r="Q116" s="76">
        <v>1.33</v>
      </c>
      <c r="R116" s="76">
        <v>1.29</v>
      </c>
      <c r="S116" s="76">
        <v>1.31</v>
      </c>
      <c r="T116" s="76">
        <v>0.98</v>
      </c>
      <c r="U116" s="75">
        <v>1.23</v>
      </c>
      <c r="V116" s="75">
        <v>1.37</v>
      </c>
      <c r="W116" s="77">
        <v>8.0000000000000002E-3</v>
      </c>
      <c r="X116" s="77"/>
      <c r="Y116" s="75">
        <v>1.2</v>
      </c>
      <c r="Z116" s="75">
        <v>1.23</v>
      </c>
      <c r="AA116" s="75">
        <v>1.31</v>
      </c>
      <c r="AB116" s="75">
        <v>1.1499999999999999</v>
      </c>
      <c r="AC116" s="75">
        <v>1.17</v>
      </c>
      <c r="AD116" s="75">
        <v>1.1499999999999999</v>
      </c>
      <c r="AE116" s="77"/>
      <c r="AF116" s="77"/>
      <c r="AG116" s="77"/>
      <c r="AH116" s="75">
        <v>1.96</v>
      </c>
      <c r="AI116" s="77"/>
      <c r="AJ116" s="76">
        <v>1.44</v>
      </c>
      <c r="AP116" s="72">
        <v>115</v>
      </c>
      <c r="AQ116" s="76">
        <v>1.44</v>
      </c>
      <c r="AR116" s="72">
        <f t="shared" si="7"/>
        <v>1.4406000000000001</v>
      </c>
      <c r="AS116" s="72">
        <f t="shared" si="8"/>
        <v>-6.0000000000015596E-4</v>
      </c>
      <c r="AU116" s="74"/>
      <c r="AV116" s="72">
        <v>9</v>
      </c>
      <c r="BN116" s="72">
        <v>1017.5592156862748</v>
      </c>
      <c r="BO116" s="72">
        <v>26.978434782608694</v>
      </c>
      <c r="BP116" s="72">
        <v>27.053999999999998</v>
      </c>
      <c r="BQ116" s="72">
        <v>35.543615384615379</v>
      </c>
      <c r="BR116" s="72">
        <v>35.682823529411763</v>
      </c>
    </row>
    <row r="117" spans="13:70">
      <c r="M117" s="72">
        <v>116</v>
      </c>
      <c r="O117" s="77">
        <v>93.207999999999998</v>
      </c>
      <c r="P117" s="76">
        <v>1.28</v>
      </c>
      <c r="Q117" s="76">
        <v>1.35</v>
      </c>
      <c r="R117" s="76">
        <v>1.29</v>
      </c>
      <c r="S117" s="75">
        <v>1.36</v>
      </c>
      <c r="T117" s="75">
        <v>1.02</v>
      </c>
      <c r="U117" s="76">
        <v>1.18</v>
      </c>
      <c r="V117" s="76">
        <v>1.33</v>
      </c>
      <c r="W117" s="77">
        <v>8.0000000000000002E-3</v>
      </c>
      <c r="X117" s="77"/>
      <c r="Y117" s="75">
        <v>1.2</v>
      </c>
      <c r="Z117" s="76">
        <v>1.21</v>
      </c>
      <c r="AA117" s="75">
        <v>1.28</v>
      </c>
      <c r="AB117" s="75">
        <v>1.1399999999999999</v>
      </c>
      <c r="AC117" s="75">
        <v>1.23</v>
      </c>
      <c r="AD117" s="75">
        <v>1.1399999999999999</v>
      </c>
      <c r="AE117" s="77"/>
      <c r="AF117" s="77"/>
      <c r="AG117" s="77"/>
      <c r="AH117" s="75">
        <v>1.95</v>
      </c>
      <c r="AI117" s="77"/>
      <c r="AJ117" s="75">
        <v>1.46</v>
      </c>
      <c r="AP117" s="72">
        <v>116</v>
      </c>
      <c r="AQ117" s="75">
        <v>1.46</v>
      </c>
      <c r="AR117" s="72">
        <f t="shared" si="7"/>
        <v>1.4406000000000001</v>
      </c>
      <c r="AS117" s="72">
        <f t="shared" si="8"/>
        <v>1.9399999999999862E-2</v>
      </c>
      <c r="AU117" s="74"/>
      <c r="AV117" s="72">
        <v>10</v>
      </c>
      <c r="BN117" s="72">
        <v>1017.2298039215686</v>
      </c>
      <c r="BO117" s="72">
        <v>27.063652173913045</v>
      </c>
      <c r="BP117" s="72">
        <v>27.027000000000001</v>
      </c>
      <c r="BQ117" s="72">
        <v>35.602076923076922</v>
      </c>
      <c r="BR117" s="72">
        <v>35.66282352941176</v>
      </c>
    </row>
    <row r="118" spans="13:70">
      <c r="M118" s="72">
        <v>117</v>
      </c>
      <c r="O118" s="77">
        <v>93.009</v>
      </c>
      <c r="P118" s="75">
        <v>1.29</v>
      </c>
      <c r="Q118" s="76">
        <v>1.35</v>
      </c>
      <c r="R118" s="75">
        <v>1.32</v>
      </c>
      <c r="S118" s="76">
        <v>1.29</v>
      </c>
      <c r="T118" s="76">
        <v>0.99</v>
      </c>
      <c r="U118" s="75">
        <v>1.21</v>
      </c>
      <c r="V118" s="75">
        <v>1.36</v>
      </c>
      <c r="W118" s="77">
        <v>8.9999999999999993E-3</v>
      </c>
      <c r="X118" s="77"/>
      <c r="Y118" s="76">
        <v>1.18</v>
      </c>
      <c r="Z118" s="75">
        <v>1.23</v>
      </c>
      <c r="AA118" s="76">
        <v>1.26</v>
      </c>
      <c r="AB118" s="75">
        <v>1.17</v>
      </c>
      <c r="AC118" s="75">
        <v>1.22</v>
      </c>
      <c r="AD118" s="75">
        <v>1.1499999999999999</v>
      </c>
      <c r="AE118" s="77"/>
      <c r="AF118" s="77"/>
      <c r="AG118" s="77"/>
      <c r="AH118" s="75">
        <v>1.95</v>
      </c>
      <c r="AI118" s="77"/>
      <c r="AJ118" s="76">
        <v>1.43</v>
      </c>
      <c r="AP118" s="72">
        <v>117</v>
      </c>
      <c r="AQ118" s="76">
        <v>1.43</v>
      </c>
      <c r="AR118" s="72">
        <f t="shared" si="7"/>
        <v>1.4406000000000001</v>
      </c>
      <c r="AS118" s="72">
        <f t="shared" si="8"/>
        <v>-1.0600000000000165E-2</v>
      </c>
      <c r="AU118" s="74"/>
      <c r="AV118" s="72">
        <v>11</v>
      </c>
      <c r="BN118" s="72">
        <v>1015.733725490196</v>
      </c>
      <c r="BO118" s="72">
        <v>26.949739130434779</v>
      </c>
      <c r="BP118" s="72">
        <v>27.039750000000002</v>
      </c>
      <c r="BQ118" s="72">
        <v>35.560153846153845</v>
      </c>
      <c r="BR118" s="72">
        <v>35.6875294117647</v>
      </c>
    </row>
    <row r="119" spans="13:70">
      <c r="M119" s="72">
        <v>118</v>
      </c>
      <c r="O119" s="77">
        <v>93.181000000000012</v>
      </c>
      <c r="P119" s="76">
        <v>1.29</v>
      </c>
      <c r="Q119" s="75">
        <v>1.36</v>
      </c>
      <c r="R119" s="75">
        <v>1.33</v>
      </c>
      <c r="S119" s="75">
        <v>1.37</v>
      </c>
      <c r="T119" s="76">
        <v>0.99</v>
      </c>
      <c r="U119" s="76">
        <v>1.1599999999999999</v>
      </c>
      <c r="V119" s="75">
        <v>1.37</v>
      </c>
      <c r="W119" s="77">
        <v>1E-3</v>
      </c>
      <c r="X119" s="77"/>
      <c r="Y119" s="75">
        <v>1.2</v>
      </c>
      <c r="Z119" s="75">
        <v>1.26</v>
      </c>
      <c r="AA119" s="75">
        <v>1.29</v>
      </c>
      <c r="AB119" s="75">
        <v>1.1200000000000001</v>
      </c>
      <c r="AC119" s="75">
        <v>1.21</v>
      </c>
      <c r="AD119" s="75">
        <v>1.17</v>
      </c>
      <c r="AE119" s="77"/>
      <c r="AF119" s="77"/>
      <c r="AG119" s="77"/>
      <c r="AH119" s="75">
        <v>1.95</v>
      </c>
      <c r="AI119" s="77"/>
      <c r="AJ119" s="75">
        <v>1.45</v>
      </c>
      <c r="AP119" s="72">
        <v>118</v>
      </c>
      <c r="AQ119" s="75">
        <v>1.45</v>
      </c>
      <c r="AR119" s="72">
        <f t="shared" si="7"/>
        <v>1.4406000000000001</v>
      </c>
      <c r="AS119" s="72">
        <f t="shared" si="8"/>
        <v>9.3999999999998529E-3</v>
      </c>
      <c r="AU119" s="74"/>
      <c r="AV119" s="72">
        <v>12</v>
      </c>
      <c r="BN119" s="72">
        <v>1019.1513725490195</v>
      </c>
      <c r="BO119" s="72">
        <v>26.937999999999995</v>
      </c>
      <c r="BP119" s="72">
        <v>27.110000000000003</v>
      </c>
      <c r="BQ119" s="72">
        <v>35.556692307692309</v>
      </c>
      <c r="BR119" s="72">
        <v>35.619686274509803</v>
      </c>
    </row>
    <row r="120" spans="13:70">
      <c r="M120" s="72">
        <v>119</v>
      </c>
      <c r="O120" s="77">
        <v>93.019000000000005</v>
      </c>
      <c r="P120" s="75">
        <v>1.29</v>
      </c>
      <c r="Q120" s="76">
        <v>1.35</v>
      </c>
      <c r="R120" s="76">
        <v>1.3</v>
      </c>
      <c r="S120" s="75">
        <v>1.34</v>
      </c>
      <c r="T120" s="75">
        <v>1</v>
      </c>
      <c r="U120" s="75">
        <v>1.22</v>
      </c>
      <c r="V120" s="76">
        <v>1.32</v>
      </c>
      <c r="W120" s="77">
        <v>8.9999999999999993E-3</v>
      </c>
      <c r="X120" s="77"/>
      <c r="Y120" s="76">
        <v>1.17</v>
      </c>
      <c r="Z120" s="76">
        <v>1.2</v>
      </c>
      <c r="AA120" s="76">
        <v>1.26</v>
      </c>
      <c r="AB120" s="75">
        <v>1.1200000000000001</v>
      </c>
      <c r="AC120" s="75">
        <v>1.18</v>
      </c>
      <c r="AD120" s="75">
        <v>1.2</v>
      </c>
      <c r="AE120" s="77"/>
      <c r="AF120" s="77"/>
      <c r="AG120" s="77"/>
      <c r="AH120" s="75">
        <v>1.96</v>
      </c>
      <c r="AI120" s="77"/>
      <c r="AJ120" s="76">
        <v>1.43</v>
      </c>
      <c r="AP120" s="72">
        <v>119</v>
      </c>
      <c r="AQ120" s="76">
        <v>1.43</v>
      </c>
      <c r="AR120" s="72">
        <f t="shared" si="7"/>
        <v>1.4406000000000001</v>
      </c>
      <c r="AS120" s="72">
        <f t="shared" si="8"/>
        <v>-1.0600000000000165E-2</v>
      </c>
      <c r="AU120" s="74"/>
      <c r="AV120" s="72">
        <v>13</v>
      </c>
      <c r="BN120" s="72">
        <v>1017.4082352941175</v>
      </c>
      <c r="BO120" s="72">
        <v>26.935391304347824</v>
      </c>
      <c r="BP120" s="72">
        <v>27.0505</v>
      </c>
      <c r="BQ120" s="72">
        <v>35.547846153846152</v>
      </c>
      <c r="BR120" s="72">
        <v>35.683999999999997</v>
      </c>
    </row>
    <row r="121" spans="13:70">
      <c r="M121" s="72">
        <v>120</v>
      </c>
      <c r="O121" s="77">
        <v>93.165999999999997</v>
      </c>
      <c r="P121" s="76">
        <v>1.27</v>
      </c>
      <c r="Q121" s="76">
        <v>1.32</v>
      </c>
      <c r="R121" s="75">
        <v>1.34</v>
      </c>
      <c r="S121" s="76">
        <v>1.3</v>
      </c>
      <c r="T121" s="76">
        <v>0.97</v>
      </c>
      <c r="U121" s="76">
        <v>1.2</v>
      </c>
      <c r="V121" s="75">
        <v>1.36</v>
      </c>
      <c r="W121" s="77">
        <v>6.0000000000000001E-3</v>
      </c>
      <c r="X121" s="77"/>
      <c r="Y121" s="76">
        <v>1.18</v>
      </c>
      <c r="Z121" s="75">
        <v>1.23</v>
      </c>
      <c r="AA121" s="76">
        <v>1.27</v>
      </c>
      <c r="AB121" s="75">
        <v>1.1299999999999999</v>
      </c>
      <c r="AC121" s="75">
        <v>1.23</v>
      </c>
      <c r="AD121" s="75">
        <v>1.18</v>
      </c>
      <c r="AE121" s="77"/>
      <c r="AF121" s="77"/>
      <c r="AG121" s="77"/>
      <c r="AH121" s="75">
        <v>1.95</v>
      </c>
      <c r="AI121" s="77"/>
      <c r="AJ121" s="76">
        <v>1.44</v>
      </c>
      <c r="AP121" s="72">
        <v>120</v>
      </c>
      <c r="AQ121" s="76">
        <v>1.44</v>
      </c>
      <c r="AR121" s="72">
        <f t="shared" si="7"/>
        <v>1.4406000000000001</v>
      </c>
      <c r="AS121" s="72">
        <f t="shared" si="8"/>
        <v>-6.0000000000015596E-4</v>
      </c>
      <c r="AU121" s="74"/>
      <c r="AV121" s="72">
        <v>14</v>
      </c>
      <c r="BN121" s="72">
        <v>1015.4180392156865</v>
      </c>
      <c r="BO121" s="72">
        <v>26.959304347826087</v>
      </c>
      <c r="BP121" s="72">
        <v>27.034749999999999</v>
      </c>
      <c r="BQ121" s="72">
        <v>35.574769230769228</v>
      </c>
      <c r="BR121" s="72">
        <v>35.66360784313725</v>
      </c>
    </row>
    <row r="122" spans="13:70">
      <c r="M122" s="72">
        <v>121</v>
      </c>
      <c r="O122" s="77">
        <v>93.018000000000001</v>
      </c>
      <c r="P122" s="75">
        <v>1.33</v>
      </c>
      <c r="Q122" s="75">
        <v>1.36</v>
      </c>
      <c r="R122" s="76">
        <v>1.29</v>
      </c>
      <c r="S122" s="75">
        <v>1.36</v>
      </c>
      <c r="T122" s="75">
        <v>1</v>
      </c>
      <c r="U122" s="76">
        <v>1.17</v>
      </c>
      <c r="V122" s="76">
        <v>1.33</v>
      </c>
      <c r="W122" s="77">
        <v>8.0000000000000002E-3</v>
      </c>
      <c r="X122" s="77"/>
      <c r="Y122" s="75">
        <v>1.2</v>
      </c>
      <c r="Z122" s="76">
        <v>1.22</v>
      </c>
      <c r="AA122" s="75">
        <v>1.3</v>
      </c>
      <c r="AB122" s="75">
        <v>1.18</v>
      </c>
      <c r="AC122" s="75">
        <v>1.17</v>
      </c>
      <c r="AD122" s="75">
        <v>1.1299999999999999</v>
      </c>
      <c r="AE122" s="77"/>
      <c r="AF122" s="77"/>
      <c r="AG122" s="77"/>
      <c r="AH122" s="75">
        <v>1.98</v>
      </c>
      <c r="AI122" s="77"/>
      <c r="AJ122" s="75">
        <v>1.47</v>
      </c>
      <c r="AP122" s="72">
        <v>121</v>
      </c>
      <c r="AQ122" s="75">
        <v>1.47</v>
      </c>
      <c r="AR122" s="72">
        <f t="shared" si="7"/>
        <v>1.4406000000000001</v>
      </c>
      <c r="AS122" s="72">
        <f t="shared" si="8"/>
        <v>2.9399999999999871E-2</v>
      </c>
      <c r="AU122" s="74"/>
      <c r="AV122" s="72">
        <v>15</v>
      </c>
      <c r="BN122" s="72">
        <v>1016.9827450980395</v>
      </c>
      <c r="BO122" s="72">
        <v>26.976260869565216</v>
      </c>
      <c r="BP122" s="72">
        <v>27.019500000000001</v>
      </c>
      <c r="BQ122" s="72">
        <v>35.564384615384611</v>
      </c>
      <c r="BR122" s="72">
        <v>35.619686274509803</v>
      </c>
    </row>
    <row r="123" spans="13:70">
      <c r="M123" s="72">
        <v>122</v>
      </c>
      <c r="O123" s="77">
        <v>93.064000000000007</v>
      </c>
      <c r="P123" s="76">
        <v>1.28</v>
      </c>
      <c r="Q123" s="76">
        <v>1.34</v>
      </c>
      <c r="R123" s="75">
        <v>1.32</v>
      </c>
      <c r="S123" s="76">
        <v>1.32</v>
      </c>
      <c r="T123" s="76">
        <v>0.97</v>
      </c>
      <c r="U123" s="75">
        <v>1.21</v>
      </c>
      <c r="V123" s="75">
        <v>1.37</v>
      </c>
      <c r="W123" s="77">
        <v>4.0000000000000001E-3</v>
      </c>
      <c r="X123" s="77"/>
      <c r="Y123" s="76">
        <v>1.18</v>
      </c>
      <c r="Z123" s="75">
        <v>1.25</v>
      </c>
      <c r="AA123" s="76">
        <v>1.26</v>
      </c>
      <c r="AB123" s="75">
        <v>1.18</v>
      </c>
      <c r="AC123" s="75">
        <v>1.23</v>
      </c>
      <c r="AD123" s="75">
        <v>1.21</v>
      </c>
      <c r="AE123" s="77"/>
      <c r="AF123" s="77"/>
      <c r="AG123" s="77"/>
      <c r="AH123" s="75">
        <v>1.95</v>
      </c>
      <c r="AI123" s="77"/>
      <c r="AJ123" s="76">
        <v>1.44</v>
      </c>
      <c r="AP123" s="72">
        <v>122</v>
      </c>
      <c r="AQ123" s="76">
        <v>1.44</v>
      </c>
      <c r="AR123" s="72">
        <f t="shared" si="7"/>
        <v>1.4406000000000001</v>
      </c>
      <c r="AS123" s="72">
        <f t="shared" si="8"/>
        <v>-6.0000000000015596E-4</v>
      </c>
      <c r="AU123" s="74"/>
      <c r="AV123" s="72">
        <v>16</v>
      </c>
      <c r="BN123" s="72">
        <v>1017.3533333333332</v>
      </c>
      <c r="BO123" s="72">
        <v>26.930173913043475</v>
      </c>
      <c r="BP123" s="72">
        <v>27.032250000000001</v>
      </c>
      <c r="BQ123" s="72">
        <v>35.490923076923082</v>
      </c>
      <c r="BR123" s="72">
        <v>35.672039215686276</v>
      </c>
    </row>
    <row r="124" spans="13:70">
      <c r="M124" s="72">
        <v>123</v>
      </c>
      <c r="O124" s="77">
        <v>93.15100000000001</v>
      </c>
      <c r="P124" s="76">
        <v>1.27</v>
      </c>
      <c r="Q124" s="75">
        <v>1.4</v>
      </c>
      <c r="R124" s="76">
        <v>1.3</v>
      </c>
      <c r="S124" s="75">
        <v>1.36</v>
      </c>
      <c r="T124" s="76">
        <v>0.97</v>
      </c>
      <c r="U124" s="76">
        <v>1.19</v>
      </c>
      <c r="V124" s="75">
        <v>1.37</v>
      </c>
      <c r="W124" s="77">
        <v>1E-3</v>
      </c>
      <c r="X124" s="77"/>
      <c r="Y124" s="75">
        <v>1.21</v>
      </c>
      <c r="Z124" s="76">
        <v>1.22</v>
      </c>
      <c r="AA124" s="76">
        <v>1.27</v>
      </c>
      <c r="AB124" s="75">
        <v>1.1100000000000001</v>
      </c>
      <c r="AC124" s="75">
        <v>1.2</v>
      </c>
      <c r="AD124" s="75">
        <v>1.1299999999999999</v>
      </c>
      <c r="AE124" s="77"/>
      <c r="AF124" s="77"/>
      <c r="AG124" s="77"/>
      <c r="AH124" s="75">
        <v>1.97</v>
      </c>
      <c r="AI124" s="77"/>
      <c r="AJ124" s="75">
        <v>1.46</v>
      </c>
      <c r="AP124" s="72">
        <v>123</v>
      </c>
      <c r="AQ124" s="75">
        <v>1.46</v>
      </c>
      <c r="AR124" s="72">
        <f t="shared" si="7"/>
        <v>1.4406000000000001</v>
      </c>
      <c r="AS124" s="72">
        <f t="shared" si="8"/>
        <v>1.9399999999999862E-2</v>
      </c>
      <c r="AU124" s="74"/>
      <c r="AV124" s="72">
        <v>17</v>
      </c>
      <c r="BN124" s="72">
        <v>1015.8572549019606</v>
      </c>
      <c r="BO124" s="72">
        <v>26.976260869565216</v>
      </c>
      <c r="BP124" s="72">
        <v>27.095000000000002</v>
      </c>
      <c r="BQ124" s="72">
        <v>35.58938461538461</v>
      </c>
      <c r="BR124" s="72">
        <v>35.674392156862744</v>
      </c>
    </row>
    <row r="125" spans="13:70">
      <c r="M125" s="72">
        <v>124</v>
      </c>
      <c r="O125" s="77">
        <v>93.019000000000005</v>
      </c>
      <c r="P125" s="75">
        <v>1.32</v>
      </c>
      <c r="Q125" s="76">
        <v>1.32</v>
      </c>
      <c r="R125" s="75">
        <v>1.33</v>
      </c>
      <c r="S125" s="75">
        <v>1.34</v>
      </c>
      <c r="T125" s="75">
        <v>1.01</v>
      </c>
      <c r="U125" s="75">
        <v>1.21</v>
      </c>
      <c r="V125" s="76">
        <v>1.3</v>
      </c>
      <c r="W125" s="77">
        <v>8.9999999999999993E-3</v>
      </c>
      <c r="X125" s="77"/>
      <c r="Y125" s="75">
        <v>1.21</v>
      </c>
      <c r="Z125" s="75">
        <v>1.24</v>
      </c>
      <c r="AA125" s="76">
        <v>1.26</v>
      </c>
      <c r="AB125" s="75">
        <v>1.1599999999999999</v>
      </c>
      <c r="AC125" s="75">
        <v>1.21</v>
      </c>
      <c r="AD125" s="75">
        <v>1.19</v>
      </c>
      <c r="AE125" s="77"/>
      <c r="AF125" s="77"/>
      <c r="AG125" s="77"/>
      <c r="AH125" s="75">
        <v>1.96</v>
      </c>
      <c r="AI125" s="77"/>
      <c r="AJ125" s="76">
        <v>1.44</v>
      </c>
      <c r="AP125" s="72">
        <v>124</v>
      </c>
      <c r="AQ125" s="76">
        <v>1.44</v>
      </c>
      <c r="AR125" s="72">
        <f t="shared" si="7"/>
        <v>1.4406000000000001</v>
      </c>
      <c r="AS125" s="72">
        <f t="shared" si="8"/>
        <v>-6.0000000000015596E-4</v>
      </c>
      <c r="AU125" s="74"/>
      <c r="AV125" s="72">
        <v>18</v>
      </c>
      <c r="BN125" s="72">
        <v>1016.7905882352941</v>
      </c>
      <c r="BO125" s="72">
        <v>26.937565217391306</v>
      </c>
      <c r="BP125" s="72">
        <v>27.052250000000001</v>
      </c>
      <c r="BQ125" s="72">
        <v>35.558615384615379</v>
      </c>
      <c r="BR125" s="72">
        <v>35.700470588235291</v>
      </c>
    </row>
    <row r="126" spans="13:70">
      <c r="M126" s="72">
        <v>125</v>
      </c>
      <c r="O126" s="77">
        <v>93.006</v>
      </c>
      <c r="P126" s="76">
        <v>1.29</v>
      </c>
      <c r="Q126" s="76">
        <v>1.31</v>
      </c>
      <c r="R126" s="76">
        <v>1.29</v>
      </c>
      <c r="S126" s="76">
        <v>1.31</v>
      </c>
      <c r="T126" s="75">
        <v>1.03</v>
      </c>
      <c r="U126" s="76">
        <v>1.19</v>
      </c>
      <c r="V126" s="75">
        <v>1.37</v>
      </c>
      <c r="W126" s="77">
        <v>6.0000000000000001E-3</v>
      </c>
      <c r="X126" s="77"/>
      <c r="Y126" s="76">
        <v>1.17</v>
      </c>
      <c r="Z126" s="76">
        <v>1.22</v>
      </c>
      <c r="AA126" s="76">
        <v>1.25</v>
      </c>
      <c r="AB126" s="75">
        <v>1.1200000000000001</v>
      </c>
      <c r="AC126" s="75">
        <v>1.23</v>
      </c>
      <c r="AD126" s="75">
        <v>1.1299999999999999</v>
      </c>
      <c r="AE126" s="77"/>
      <c r="AF126" s="77"/>
      <c r="AG126" s="77"/>
      <c r="AH126" s="75">
        <v>1.95</v>
      </c>
      <c r="AI126" s="77"/>
      <c r="AJ126" s="76">
        <v>1.43</v>
      </c>
      <c r="AP126" s="72">
        <v>125</v>
      </c>
      <c r="AQ126" s="76">
        <v>1.43</v>
      </c>
      <c r="AR126" s="72">
        <f t="shared" si="7"/>
        <v>1.4406000000000001</v>
      </c>
      <c r="AS126" s="72">
        <f t="shared" si="8"/>
        <v>-1.0600000000000165E-2</v>
      </c>
      <c r="AU126" s="74"/>
      <c r="AV126" s="72">
        <v>19</v>
      </c>
      <c r="BN126" s="72">
        <v>1018.3003921568628</v>
      </c>
      <c r="BO126" s="72">
        <v>26.952782608695653</v>
      </c>
      <c r="BP126" s="72">
        <v>27.038250000000001</v>
      </c>
      <c r="BQ126" s="72">
        <v>35.567846153846155</v>
      </c>
      <c r="BR126" s="72">
        <v>35.619686274509803</v>
      </c>
    </row>
    <row r="127" spans="13:70" ht="14.25" hidden="1" customHeight="1">
      <c r="W127" s="77">
        <v>6.0000000000000001E-3</v>
      </c>
      <c r="BP127" s="72">
        <v>27.043499999999998</v>
      </c>
    </row>
    <row r="128" spans="13:70" hidden="1">
      <c r="W128" s="77">
        <v>8.0000000000000002E-3</v>
      </c>
      <c r="BP128" s="72">
        <v>27.035250000000001</v>
      </c>
    </row>
    <row r="129" spans="68:68" hidden="1">
      <c r="BP129" s="72">
        <v>26.96</v>
      </c>
    </row>
    <row r="130" spans="68:68" hidden="1">
      <c r="BP130" s="72">
        <v>27.040500000000002</v>
      </c>
    </row>
    <row r="131" spans="68:68" hidden="1">
      <c r="BP131" s="72">
        <v>27.032499999999999</v>
      </c>
    </row>
    <row r="132" spans="68:68" hidden="1">
      <c r="BP132" s="72">
        <v>27.051500000000001</v>
      </c>
    </row>
    <row r="133" spans="68:68" hidden="1">
      <c r="BP133" s="72">
        <v>27.048749999999998</v>
      </c>
    </row>
    <row r="134" spans="68:68" hidden="1">
      <c r="BP134" s="72">
        <v>27.061</v>
      </c>
    </row>
    <row r="135" spans="68:68" hidden="1">
      <c r="BP135" s="72">
        <v>27.080000000000002</v>
      </c>
    </row>
    <row r="136" spans="68:68" hidden="1">
      <c r="BP136" s="72">
        <v>27.060500000000001</v>
      </c>
    </row>
    <row r="137" spans="68:68" hidden="1">
      <c r="BP137" s="72">
        <v>27.005749999999999</v>
      </c>
    </row>
    <row r="138" spans="68:68" hidden="1">
      <c r="BP138" s="72">
        <v>27.094999999999999</v>
      </c>
    </row>
    <row r="139" spans="68:68" hidden="1">
      <c r="BP139" s="72">
        <v>27.044499999999999</v>
      </c>
    </row>
    <row r="140" spans="68:68" hidden="1">
      <c r="BP140" s="72">
        <v>27.110000000000003</v>
      </c>
    </row>
    <row r="141" spans="68:68" hidden="1">
      <c r="BP141" s="72">
        <v>27.06475</v>
      </c>
    </row>
    <row r="142" spans="68:68" hidden="1">
      <c r="BP142" s="72">
        <v>27.0245</v>
      </c>
    </row>
    <row r="143" spans="68:68" hidden="1">
      <c r="BP143" s="72">
        <v>27.023499999999999</v>
      </c>
    </row>
  </sheetData>
  <conditionalFormatting sqref="AZ4:BE23">
    <cfRule type="expression" dxfId="0" priority="1" stopIfTrue="1">
      <formula>OR($H4="Poka Yoke",$H4=100%)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ABEE8-7C3C-44FC-BD45-F6642FC80A56}">
  <dimension ref="A1:V132"/>
  <sheetViews>
    <sheetView topLeftCell="A92" workbookViewId="0">
      <selection activeCell="Q5" sqref="Q5"/>
    </sheetView>
  </sheetViews>
  <sheetFormatPr baseColWidth="10" defaultRowHeight="15"/>
  <cols>
    <col min="1" max="1" width="9.21875" style="73" customWidth="1"/>
    <col min="2" max="2" width="7.109375" style="72" customWidth="1"/>
    <col min="3" max="3" width="9.21875" style="73" customWidth="1"/>
    <col min="4" max="4" width="7.109375" style="72" customWidth="1"/>
    <col min="5" max="7" width="9.21875" style="73" customWidth="1"/>
    <col min="8" max="8" width="7.109375" style="72" customWidth="1"/>
    <col min="9" max="13" width="9.21875" style="73" customWidth="1"/>
    <col min="14" max="14" width="7.109375" style="72" customWidth="1"/>
    <col min="15" max="15" width="9.21875" style="73" customWidth="1"/>
    <col min="16" max="16" width="7.109375" style="72"/>
  </cols>
  <sheetData>
    <row r="1" spans="1:22" ht="63.75" thickBot="1">
      <c r="B1" s="42" t="s">
        <v>71</v>
      </c>
      <c r="C1" s="42" t="s">
        <v>67</v>
      </c>
      <c r="D1" s="42" t="s">
        <v>63</v>
      </c>
      <c r="E1" s="42" t="s">
        <v>59</v>
      </c>
      <c r="F1" s="42" t="s">
        <v>55</v>
      </c>
      <c r="G1" s="42" t="s">
        <v>51</v>
      </c>
      <c r="H1" s="42" t="s">
        <v>45</v>
      </c>
      <c r="I1" s="48" t="s">
        <v>69</v>
      </c>
      <c r="J1" s="48" t="s">
        <v>65</v>
      </c>
      <c r="K1" s="48" t="s">
        <v>61</v>
      </c>
      <c r="L1" s="48" t="s">
        <v>57</v>
      </c>
      <c r="M1" s="48" t="s">
        <v>53</v>
      </c>
      <c r="N1" s="48" t="s">
        <v>48</v>
      </c>
      <c r="O1" s="34" t="s">
        <v>42</v>
      </c>
      <c r="P1" s="34" t="s">
        <v>73</v>
      </c>
      <c r="Q1" s="28" t="s">
        <v>37</v>
      </c>
      <c r="T1" s="52" t="s">
        <v>76</v>
      </c>
    </row>
    <row r="2" spans="1:22" ht="21.75" customHeight="1">
      <c r="A2" s="73" t="s">
        <v>79</v>
      </c>
      <c r="B2" s="72" t="s">
        <v>80</v>
      </c>
      <c r="C2" s="74" t="s">
        <v>81</v>
      </c>
      <c r="D2" s="72" t="s">
        <v>82</v>
      </c>
      <c r="E2" s="74" t="s">
        <v>83</v>
      </c>
      <c r="F2" s="74" t="s">
        <v>84</v>
      </c>
      <c r="G2" s="73" t="s">
        <v>85</v>
      </c>
      <c r="H2" s="72" t="s">
        <v>86</v>
      </c>
      <c r="I2" s="73" t="s">
        <v>87</v>
      </c>
      <c r="J2" s="73" t="s">
        <v>88</v>
      </c>
      <c r="K2" s="73" t="s">
        <v>89</v>
      </c>
      <c r="L2" s="73" t="s">
        <v>90</v>
      </c>
      <c r="M2" s="73" t="s">
        <v>91</v>
      </c>
      <c r="N2" s="72" t="s">
        <v>92</v>
      </c>
      <c r="O2" s="73" t="s">
        <v>93</v>
      </c>
      <c r="P2" s="72" t="s">
        <v>94</v>
      </c>
    </row>
    <row r="3" spans="1:22">
      <c r="A3" s="99">
        <v>93.016000000000005</v>
      </c>
      <c r="B3" s="100">
        <v>1.29</v>
      </c>
      <c r="C3" s="100">
        <v>1.34</v>
      </c>
      <c r="D3" s="100">
        <v>1.34</v>
      </c>
      <c r="E3" s="100">
        <v>1.34</v>
      </c>
      <c r="F3" s="100">
        <v>0.98</v>
      </c>
      <c r="G3" s="100">
        <v>1.19</v>
      </c>
      <c r="H3" s="100">
        <v>1.37</v>
      </c>
      <c r="I3" s="100">
        <v>1.19</v>
      </c>
      <c r="J3" s="100">
        <v>1.26</v>
      </c>
      <c r="K3" s="100">
        <v>1.27</v>
      </c>
      <c r="L3" s="100">
        <v>1.17</v>
      </c>
      <c r="M3" s="100">
        <v>1.17</v>
      </c>
      <c r="N3" s="100">
        <v>1.2</v>
      </c>
      <c r="O3" s="100">
        <v>1.94</v>
      </c>
      <c r="P3" s="100">
        <v>1.42</v>
      </c>
      <c r="Q3" s="101">
        <v>1.85</v>
      </c>
      <c r="R3" s="101">
        <v>1.95</v>
      </c>
      <c r="S3" s="101">
        <v>1.82</v>
      </c>
      <c r="T3" s="101">
        <v>2.38</v>
      </c>
      <c r="U3" s="101">
        <v>2.36</v>
      </c>
      <c r="V3" s="101">
        <v>2.36</v>
      </c>
    </row>
    <row r="4" spans="1:22">
      <c r="A4" s="99">
        <v>93.206000000000003</v>
      </c>
      <c r="B4" s="100">
        <v>1.25</v>
      </c>
      <c r="C4" s="100">
        <v>1.35</v>
      </c>
      <c r="D4" s="100">
        <v>1.31</v>
      </c>
      <c r="E4" s="100">
        <v>1.32</v>
      </c>
      <c r="F4" s="100">
        <v>0.98</v>
      </c>
      <c r="G4" s="100">
        <v>1.18</v>
      </c>
      <c r="H4" s="100">
        <v>1.29</v>
      </c>
      <c r="I4" s="100">
        <v>1.2</v>
      </c>
      <c r="J4" s="100">
        <v>1.2</v>
      </c>
      <c r="K4" s="100">
        <v>1.28</v>
      </c>
      <c r="L4" s="100">
        <v>1.1399999999999999</v>
      </c>
      <c r="M4" s="100">
        <v>1.2</v>
      </c>
      <c r="N4" s="100">
        <v>1.17</v>
      </c>
      <c r="O4" s="100">
        <v>1.95</v>
      </c>
      <c r="P4" s="100">
        <v>1.43</v>
      </c>
      <c r="Q4" s="101">
        <v>1.86</v>
      </c>
      <c r="R4" s="101">
        <v>1.96</v>
      </c>
      <c r="S4" s="101">
        <v>1.83</v>
      </c>
      <c r="T4" s="101">
        <v>2.38</v>
      </c>
      <c r="U4" s="101">
        <v>2.36</v>
      </c>
      <c r="V4" s="101">
        <v>2.36</v>
      </c>
    </row>
    <row r="5" spans="1:22" ht="13.5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3"/>
      <c r="R5" s="103"/>
      <c r="S5" s="103"/>
      <c r="T5" s="103"/>
      <c r="U5" s="103"/>
      <c r="V5" s="103"/>
    </row>
    <row r="6" spans="1:22">
      <c r="A6" s="99">
        <v>93.057000000000002</v>
      </c>
      <c r="B6" s="100">
        <v>1.33</v>
      </c>
      <c r="C6" s="100">
        <v>1.32</v>
      </c>
      <c r="D6" s="100">
        <v>1.33</v>
      </c>
      <c r="E6" s="100">
        <v>1.38</v>
      </c>
      <c r="F6" s="100">
        <v>0.97</v>
      </c>
      <c r="G6" s="100">
        <v>1.21</v>
      </c>
      <c r="H6" s="100">
        <v>1.31</v>
      </c>
      <c r="I6" s="100">
        <v>1.2</v>
      </c>
      <c r="J6" s="100">
        <v>1.22</v>
      </c>
      <c r="K6" s="100">
        <v>1.24</v>
      </c>
      <c r="L6" s="100">
        <v>1.1599999999999999</v>
      </c>
      <c r="M6" s="100">
        <v>1.21</v>
      </c>
      <c r="N6" s="100">
        <v>1.17</v>
      </c>
      <c r="O6" s="100">
        <v>1.95</v>
      </c>
      <c r="P6" s="100">
        <v>1.44</v>
      </c>
      <c r="Q6" s="101">
        <v>1.79</v>
      </c>
      <c r="R6" s="101">
        <v>1.79</v>
      </c>
      <c r="S6" s="101">
        <v>1.78</v>
      </c>
      <c r="T6" s="101">
        <v>2.38</v>
      </c>
      <c r="U6" s="101">
        <v>2.4</v>
      </c>
      <c r="V6" s="101">
        <v>2.36</v>
      </c>
    </row>
    <row r="7" spans="1:22" hidden="1">
      <c r="A7" s="99">
        <v>93.003</v>
      </c>
      <c r="B7" s="100">
        <v>1.28</v>
      </c>
      <c r="C7" s="100">
        <v>1.4</v>
      </c>
      <c r="D7" s="100">
        <v>1.29</v>
      </c>
      <c r="E7" s="100">
        <v>1.34</v>
      </c>
      <c r="F7" s="100">
        <v>0.98</v>
      </c>
      <c r="G7" s="100">
        <v>1.1599999999999999</v>
      </c>
      <c r="H7" s="100">
        <v>1.32</v>
      </c>
      <c r="I7" s="100">
        <v>1.19</v>
      </c>
      <c r="J7" s="100">
        <v>1.26</v>
      </c>
      <c r="K7" s="100">
        <v>1.27</v>
      </c>
      <c r="L7" s="100">
        <v>1.1200000000000001</v>
      </c>
      <c r="M7" s="100">
        <v>1.2</v>
      </c>
      <c r="N7" s="100">
        <v>1.1599999999999999</v>
      </c>
      <c r="O7" s="100">
        <v>1.96</v>
      </c>
      <c r="P7" s="100">
        <v>1.43</v>
      </c>
      <c r="Q7" s="101">
        <v>1.79</v>
      </c>
      <c r="R7" s="101">
        <v>1.8</v>
      </c>
      <c r="S7" s="101">
        <v>1.8</v>
      </c>
      <c r="T7" s="101">
        <v>2.36</v>
      </c>
      <c r="U7" s="101">
        <v>2.4</v>
      </c>
      <c r="V7" s="101">
        <v>2.37</v>
      </c>
    </row>
    <row r="8" spans="1:22" ht="13.5" hidden="1">
      <c r="A8" s="100">
        <v>93.003</v>
      </c>
      <c r="B8" s="100">
        <v>1.28</v>
      </c>
      <c r="C8" s="100">
        <v>1.4</v>
      </c>
      <c r="D8" s="100">
        <v>1.29</v>
      </c>
      <c r="E8" s="100">
        <v>1.34</v>
      </c>
      <c r="F8" s="100">
        <v>0.98</v>
      </c>
      <c r="G8" s="100">
        <v>1.1599999999999999</v>
      </c>
      <c r="H8" s="100">
        <v>1.32</v>
      </c>
      <c r="I8" s="100">
        <v>1.19</v>
      </c>
      <c r="J8" s="100">
        <v>1.26</v>
      </c>
      <c r="K8" s="100">
        <v>1.27</v>
      </c>
      <c r="L8" s="100">
        <v>1.1200000000000001</v>
      </c>
      <c r="M8" s="100">
        <v>1.2</v>
      </c>
      <c r="N8" s="100">
        <v>1.1599999999999999</v>
      </c>
      <c r="O8" s="100">
        <v>1.96</v>
      </c>
      <c r="P8" s="100">
        <v>1.43</v>
      </c>
      <c r="Q8" s="101">
        <v>1.79</v>
      </c>
      <c r="R8" s="101">
        <v>1.8</v>
      </c>
      <c r="S8" s="101">
        <v>1.8</v>
      </c>
      <c r="T8" s="101">
        <v>2.36</v>
      </c>
      <c r="U8" s="101">
        <v>2.4</v>
      </c>
      <c r="V8" s="101">
        <v>2.37</v>
      </c>
    </row>
    <row r="9" spans="1:22" ht="13.5" hidden="1">
      <c r="A9" s="100">
        <v>93.191999999999993</v>
      </c>
      <c r="B9" s="100">
        <v>1.3</v>
      </c>
      <c r="C9" s="100">
        <v>1.35</v>
      </c>
      <c r="D9" s="100">
        <v>1.32</v>
      </c>
      <c r="E9" s="100">
        <v>1.37</v>
      </c>
      <c r="F9" s="100">
        <v>1</v>
      </c>
      <c r="G9" s="100">
        <v>1.22</v>
      </c>
      <c r="H9" s="100">
        <v>1.34</v>
      </c>
      <c r="I9" s="100">
        <v>1.21</v>
      </c>
      <c r="J9" s="100">
        <v>1.23</v>
      </c>
      <c r="K9" s="100">
        <v>1.25</v>
      </c>
      <c r="L9" s="100">
        <v>1.1399999999999999</v>
      </c>
      <c r="M9" s="100">
        <v>1.23</v>
      </c>
      <c r="N9" s="100">
        <v>1.18</v>
      </c>
      <c r="O9" s="100">
        <v>1.95</v>
      </c>
      <c r="P9" s="100">
        <v>1.46</v>
      </c>
      <c r="Q9" s="101">
        <v>1.82</v>
      </c>
      <c r="R9" s="101">
        <v>1.91</v>
      </c>
      <c r="S9" s="101">
        <v>1.89</v>
      </c>
      <c r="T9" s="101">
        <v>2.31</v>
      </c>
      <c r="U9" s="101">
        <v>2.27</v>
      </c>
      <c r="V9" s="101">
        <v>2.2999999999999998</v>
      </c>
    </row>
    <row r="10" spans="1:22" ht="13.5" hidden="1">
      <c r="A10" s="100">
        <v>93.055000000000007</v>
      </c>
      <c r="B10" s="100">
        <v>1.28</v>
      </c>
      <c r="C10" s="100">
        <v>1.37</v>
      </c>
      <c r="D10" s="100">
        <v>1.27</v>
      </c>
      <c r="E10" s="100">
        <v>1.31</v>
      </c>
      <c r="F10" s="100">
        <v>1.04</v>
      </c>
      <c r="G10" s="100">
        <v>1.22</v>
      </c>
      <c r="H10" s="100">
        <v>1.33</v>
      </c>
      <c r="I10" s="100">
        <v>1.22</v>
      </c>
      <c r="J10" s="100">
        <v>1.2</v>
      </c>
      <c r="K10" s="100">
        <v>1.25</v>
      </c>
      <c r="L10" s="100">
        <v>1.1000000000000001</v>
      </c>
      <c r="M10" s="100">
        <v>1.19</v>
      </c>
      <c r="N10" s="100">
        <v>1.17</v>
      </c>
      <c r="O10" s="100">
        <v>1.96</v>
      </c>
      <c r="P10" s="100">
        <v>1.45</v>
      </c>
      <c r="Q10" s="101">
        <v>1.86</v>
      </c>
      <c r="R10" s="101">
        <v>1.87</v>
      </c>
      <c r="S10" s="101">
        <v>1.88</v>
      </c>
      <c r="T10" s="101">
        <v>2.4</v>
      </c>
      <c r="U10" s="101">
        <v>2.38</v>
      </c>
      <c r="V10" s="101">
        <v>2.3199999999999998</v>
      </c>
    </row>
    <row r="11" spans="1:22" ht="13.5" hidden="1">
      <c r="A11" s="100">
        <v>93.13</v>
      </c>
      <c r="B11" s="100">
        <v>1.3</v>
      </c>
      <c r="C11" s="100">
        <v>1.34</v>
      </c>
      <c r="D11" s="100">
        <v>1.33</v>
      </c>
      <c r="E11" s="100">
        <v>1.35</v>
      </c>
      <c r="F11" s="100">
        <v>1</v>
      </c>
      <c r="G11" s="100">
        <v>1.18</v>
      </c>
      <c r="H11" s="100">
        <v>1.3</v>
      </c>
      <c r="I11" s="100">
        <v>1.19</v>
      </c>
      <c r="J11" s="100">
        <v>1.26</v>
      </c>
      <c r="K11" s="100">
        <v>1.3</v>
      </c>
      <c r="L11" s="100">
        <v>1.1200000000000001</v>
      </c>
      <c r="M11" s="100">
        <v>1.23</v>
      </c>
      <c r="N11" s="100">
        <v>1.1399999999999999</v>
      </c>
      <c r="O11" s="100">
        <v>1.95</v>
      </c>
      <c r="P11" s="100">
        <v>1.43</v>
      </c>
      <c r="Q11" s="101">
        <v>1.96</v>
      </c>
      <c r="R11" s="101">
        <v>1.87</v>
      </c>
      <c r="S11" s="101">
        <v>1.86</v>
      </c>
      <c r="T11" s="101">
        <v>2.4</v>
      </c>
      <c r="U11" s="101">
        <v>2.36</v>
      </c>
      <c r="V11" s="101">
        <v>2.38</v>
      </c>
    </row>
    <row r="12" spans="1:22" ht="13.5" hidden="1">
      <c r="A12" s="100">
        <v>93.006</v>
      </c>
      <c r="B12" s="100">
        <v>1.26</v>
      </c>
      <c r="C12" s="100">
        <v>1.37</v>
      </c>
      <c r="D12" s="100">
        <v>1.28</v>
      </c>
      <c r="E12" s="100">
        <v>1.36</v>
      </c>
      <c r="F12" s="100">
        <v>0.98</v>
      </c>
      <c r="G12" s="100">
        <v>1.21</v>
      </c>
      <c r="H12" s="100">
        <v>1.32</v>
      </c>
      <c r="I12" s="100">
        <v>1.21</v>
      </c>
      <c r="J12" s="100">
        <v>1.24</v>
      </c>
      <c r="K12" s="100">
        <v>1.29</v>
      </c>
      <c r="L12" s="100">
        <v>1.1499999999999999</v>
      </c>
      <c r="M12" s="100">
        <v>1.17</v>
      </c>
      <c r="N12" s="100">
        <v>1.1399999999999999</v>
      </c>
      <c r="O12" s="100">
        <v>1.95</v>
      </c>
      <c r="P12" s="100">
        <v>1.43</v>
      </c>
      <c r="Q12" s="101">
        <v>1.93</v>
      </c>
      <c r="R12" s="101">
        <v>1.89</v>
      </c>
      <c r="S12" s="101">
        <v>1.9</v>
      </c>
      <c r="T12" s="101">
        <v>2.41</v>
      </c>
      <c r="U12" s="101">
        <v>2.38</v>
      </c>
      <c r="V12" s="101">
        <v>2.36</v>
      </c>
    </row>
    <row r="13" spans="1:22" ht="13.5" hidden="1">
      <c r="A13" s="100">
        <v>93.153999999999996</v>
      </c>
      <c r="B13" s="100">
        <v>1.25</v>
      </c>
      <c r="C13" s="100">
        <v>1.37</v>
      </c>
      <c r="D13" s="100">
        <v>1.32</v>
      </c>
      <c r="E13" s="100">
        <v>1.32</v>
      </c>
      <c r="F13" s="100">
        <v>1.02</v>
      </c>
      <c r="G13" s="100">
        <v>1.18</v>
      </c>
      <c r="H13" s="100">
        <v>1.36</v>
      </c>
      <c r="I13" s="100">
        <v>1.2</v>
      </c>
      <c r="J13" s="100">
        <v>1.23</v>
      </c>
      <c r="K13" s="100">
        <v>1.27</v>
      </c>
      <c r="L13" s="100">
        <v>1.1100000000000001</v>
      </c>
      <c r="M13" s="100">
        <v>1.18</v>
      </c>
      <c r="N13" s="100">
        <v>1.17</v>
      </c>
      <c r="O13" s="100">
        <v>1.97</v>
      </c>
      <c r="P13" s="100">
        <v>1.45</v>
      </c>
      <c r="Q13" s="101">
        <v>1.83</v>
      </c>
      <c r="R13" s="101">
        <v>1.8</v>
      </c>
      <c r="S13" s="101">
        <v>1.92</v>
      </c>
      <c r="T13" s="101">
        <v>2.3199999999999998</v>
      </c>
      <c r="U13" s="101">
        <v>2.33</v>
      </c>
      <c r="V13" s="101">
        <v>2.2999999999999998</v>
      </c>
    </row>
    <row r="14" spans="1:22" ht="13.5" hidden="1">
      <c r="A14" s="100">
        <v>92.905000000000001</v>
      </c>
      <c r="B14" s="100">
        <v>1.33</v>
      </c>
      <c r="C14" s="100">
        <v>1.35</v>
      </c>
      <c r="D14" s="100">
        <v>1.29</v>
      </c>
      <c r="E14" s="100">
        <v>1.33</v>
      </c>
      <c r="F14" s="100">
        <v>1.01</v>
      </c>
      <c r="G14" s="100">
        <v>1.22</v>
      </c>
      <c r="H14" s="100">
        <v>1.3</v>
      </c>
      <c r="I14" s="100">
        <v>1.17</v>
      </c>
      <c r="J14" s="100">
        <v>1.22</v>
      </c>
      <c r="K14" s="100">
        <v>1.3</v>
      </c>
      <c r="L14" s="100">
        <v>1.1299999999999999</v>
      </c>
      <c r="M14" s="100">
        <v>1.25</v>
      </c>
      <c r="N14" s="100">
        <v>1.1399999999999999</v>
      </c>
      <c r="O14" s="100">
        <v>1.95</v>
      </c>
      <c r="P14" s="100">
        <v>1.45</v>
      </c>
      <c r="Q14" s="101">
        <v>1.83</v>
      </c>
      <c r="R14" s="101">
        <v>1.8</v>
      </c>
      <c r="S14" s="101">
        <v>1.92</v>
      </c>
      <c r="T14" s="101">
        <v>2.3199999999999998</v>
      </c>
      <c r="U14" s="101">
        <v>2.33</v>
      </c>
      <c r="V14" s="101">
        <v>2.2999999999999998</v>
      </c>
    </row>
    <row r="15" spans="1:22" ht="13.5" hidden="1">
      <c r="A15" s="100">
        <v>92.94</v>
      </c>
      <c r="B15" s="100">
        <v>1.31</v>
      </c>
      <c r="C15" s="100">
        <v>1.38</v>
      </c>
      <c r="D15" s="100">
        <v>1.31</v>
      </c>
      <c r="E15" s="100">
        <v>1.38</v>
      </c>
      <c r="F15" s="100">
        <v>0.97</v>
      </c>
      <c r="G15" s="100">
        <v>1.17</v>
      </c>
      <c r="H15" s="100">
        <v>1.3</v>
      </c>
      <c r="I15" s="100">
        <v>1.2</v>
      </c>
      <c r="J15" s="100">
        <v>1.25</v>
      </c>
      <c r="K15" s="100">
        <v>1.26</v>
      </c>
      <c r="L15" s="100">
        <v>1.1299999999999999</v>
      </c>
      <c r="M15" s="100">
        <v>1.19</v>
      </c>
      <c r="N15" s="100">
        <v>1.17</v>
      </c>
      <c r="O15" s="100">
        <v>1.96</v>
      </c>
      <c r="P15" s="100">
        <v>1.48</v>
      </c>
      <c r="Q15" s="101">
        <v>1.84</v>
      </c>
      <c r="R15" s="101">
        <v>1.81</v>
      </c>
      <c r="S15" s="101">
        <v>1.93</v>
      </c>
      <c r="T15" s="101">
        <v>2.33</v>
      </c>
      <c r="U15" s="101">
        <v>2.3199999999999998</v>
      </c>
      <c r="V15" s="101">
        <v>2.31</v>
      </c>
    </row>
    <row r="16" spans="1:22" ht="13.5" hidden="1">
      <c r="A16" s="100">
        <v>93.156000000000006</v>
      </c>
      <c r="B16" s="100">
        <v>1.28</v>
      </c>
      <c r="C16" s="100">
        <v>1.38</v>
      </c>
      <c r="D16" s="100">
        <v>1.3</v>
      </c>
      <c r="E16" s="100">
        <v>1.31</v>
      </c>
      <c r="F16" s="100">
        <v>1.01</v>
      </c>
      <c r="G16" s="100">
        <v>1.19</v>
      </c>
      <c r="H16" s="100">
        <v>1.37</v>
      </c>
      <c r="I16" s="100">
        <v>1.19</v>
      </c>
      <c r="J16" s="100">
        <v>1.22</v>
      </c>
      <c r="K16" s="100">
        <v>1.31</v>
      </c>
      <c r="L16" s="100">
        <v>1.1399999999999999</v>
      </c>
      <c r="M16" s="100">
        <v>1.22</v>
      </c>
      <c r="N16" s="100">
        <v>1.1200000000000001</v>
      </c>
      <c r="O16" s="100">
        <v>1.96</v>
      </c>
      <c r="P16" s="100">
        <v>1.45</v>
      </c>
      <c r="Q16" s="101">
        <v>1.82</v>
      </c>
      <c r="R16" s="101">
        <v>1.84</v>
      </c>
      <c r="S16" s="101">
        <v>1.86</v>
      </c>
      <c r="T16" s="101">
        <v>2.35</v>
      </c>
      <c r="U16" s="101">
        <v>2.38</v>
      </c>
      <c r="V16" s="101">
        <v>2.34</v>
      </c>
    </row>
    <row r="17" spans="1:22" ht="13.5" hidden="1">
      <c r="A17" s="100">
        <v>92.971999999999994</v>
      </c>
      <c r="B17" s="100">
        <v>1.29</v>
      </c>
      <c r="C17" s="100">
        <v>1.31</v>
      </c>
      <c r="D17" s="100">
        <v>1.32</v>
      </c>
      <c r="E17" s="100">
        <v>1.34</v>
      </c>
      <c r="F17" s="100">
        <v>0.99</v>
      </c>
      <c r="G17" s="100">
        <v>1.26</v>
      </c>
      <c r="H17" s="100">
        <v>1.32</v>
      </c>
      <c r="I17" s="100">
        <v>1.21</v>
      </c>
      <c r="J17" s="100">
        <v>1.26</v>
      </c>
      <c r="K17" s="100">
        <v>1.24</v>
      </c>
      <c r="L17" s="100">
        <v>1.1200000000000001</v>
      </c>
      <c r="M17" s="100">
        <v>1.23</v>
      </c>
      <c r="N17" s="100">
        <v>1.1599999999999999</v>
      </c>
      <c r="O17" s="100">
        <v>1.95</v>
      </c>
      <c r="P17" s="100">
        <v>1.46</v>
      </c>
      <c r="Q17" s="101">
        <v>1.81</v>
      </c>
      <c r="R17" s="101">
        <v>1.86</v>
      </c>
      <c r="S17" s="101">
        <v>1.84</v>
      </c>
      <c r="T17" s="101">
        <v>2.38</v>
      </c>
      <c r="U17" s="101">
        <v>2.4</v>
      </c>
      <c r="V17" s="101">
        <v>2.36</v>
      </c>
    </row>
    <row r="18" spans="1:22" ht="13.5" hidden="1">
      <c r="A18" s="100">
        <v>93.15</v>
      </c>
      <c r="B18" s="100">
        <v>1.33</v>
      </c>
      <c r="C18" s="100">
        <v>1.35</v>
      </c>
      <c r="D18" s="100">
        <v>1.3</v>
      </c>
      <c r="E18" s="100">
        <v>1.32</v>
      </c>
      <c r="F18" s="100">
        <v>1.02</v>
      </c>
      <c r="G18" s="100">
        <v>1.2</v>
      </c>
      <c r="H18" s="100">
        <v>1.35</v>
      </c>
      <c r="I18" s="100">
        <v>1.18</v>
      </c>
      <c r="J18" s="100">
        <v>1.21</v>
      </c>
      <c r="K18" s="100">
        <v>1.31</v>
      </c>
      <c r="L18" s="100">
        <v>1.1200000000000001</v>
      </c>
      <c r="M18" s="100">
        <v>1.24</v>
      </c>
      <c r="N18" s="100">
        <v>1.1599999999999999</v>
      </c>
      <c r="O18" s="100">
        <v>1.96</v>
      </c>
      <c r="P18" s="100">
        <v>1.4390000000000001</v>
      </c>
      <c r="Q18" s="101">
        <v>1.86</v>
      </c>
      <c r="R18" s="101">
        <v>1.87</v>
      </c>
      <c r="S18" s="101">
        <v>1.82</v>
      </c>
      <c r="T18" s="101">
        <v>2.34</v>
      </c>
      <c r="U18" s="101">
        <v>2.36</v>
      </c>
      <c r="V18" s="101">
        <v>2.31</v>
      </c>
    </row>
    <row r="19" spans="1:22" ht="13.5" hidden="1">
      <c r="A19" s="100">
        <v>93.003</v>
      </c>
      <c r="B19" s="100">
        <v>1.28</v>
      </c>
      <c r="C19" s="100">
        <v>1.37</v>
      </c>
      <c r="D19" s="100">
        <v>1.27</v>
      </c>
      <c r="E19" s="100">
        <v>1.34</v>
      </c>
      <c r="F19" s="100">
        <v>1.01</v>
      </c>
      <c r="G19" s="100">
        <v>1.25</v>
      </c>
      <c r="H19" s="100">
        <v>1.29</v>
      </c>
      <c r="I19" s="100">
        <v>1.21</v>
      </c>
      <c r="J19" s="100">
        <v>1.25</v>
      </c>
      <c r="K19" s="100">
        <v>1.27</v>
      </c>
      <c r="L19" s="100">
        <v>1.1499999999999999</v>
      </c>
      <c r="M19" s="100">
        <v>1.18</v>
      </c>
      <c r="N19" s="100">
        <v>1.19</v>
      </c>
      <c r="O19" s="100">
        <v>1.96</v>
      </c>
      <c r="P19" s="100">
        <v>1.46</v>
      </c>
      <c r="Q19" s="101">
        <v>1.84</v>
      </c>
      <c r="R19" s="101">
        <v>1.86</v>
      </c>
      <c r="S19" s="101">
        <v>1.84</v>
      </c>
      <c r="T19" s="101">
        <v>2.36</v>
      </c>
      <c r="U19" s="101">
        <v>2.38</v>
      </c>
      <c r="V19" s="101">
        <v>2.3199999999999998</v>
      </c>
    </row>
    <row r="20" spans="1:22" ht="13.5" hidden="1">
      <c r="A20" s="100">
        <v>93.183999999999997</v>
      </c>
      <c r="B20" s="100">
        <v>1.29</v>
      </c>
      <c r="C20" s="100">
        <v>1.38</v>
      </c>
      <c r="D20" s="100">
        <v>1.32</v>
      </c>
      <c r="E20" s="100">
        <v>1.29</v>
      </c>
      <c r="F20" s="100">
        <v>0.99</v>
      </c>
      <c r="G20" s="100">
        <v>1.18</v>
      </c>
      <c r="H20" s="100">
        <v>1.32</v>
      </c>
      <c r="I20" s="100">
        <v>1.1599999999999999</v>
      </c>
      <c r="J20" s="100">
        <v>1.25</v>
      </c>
      <c r="K20" s="100">
        <v>1.3</v>
      </c>
      <c r="L20" s="100">
        <v>1.1200000000000001</v>
      </c>
      <c r="M20" s="100">
        <v>1.22</v>
      </c>
      <c r="N20" s="100">
        <v>1.1399999999999999</v>
      </c>
      <c r="O20" s="100">
        <v>1.95</v>
      </c>
      <c r="P20" s="100">
        <v>1.42</v>
      </c>
      <c r="Q20" s="101">
        <v>1.92</v>
      </c>
      <c r="R20" s="101">
        <v>1.82</v>
      </c>
      <c r="S20" s="101">
        <v>1.85</v>
      </c>
      <c r="T20" s="101">
        <v>2.36</v>
      </c>
      <c r="U20" s="101">
        <v>2.37</v>
      </c>
      <c r="V20" s="101">
        <v>2.37</v>
      </c>
    </row>
    <row r="21" spans="1:22" ht="13.5" hidden="1">
      <c r="A21" s="100">
        <v>92.908000000000001</v>
      </c>
      <c r="B21" s="100">
        <v>1.3</v>
      </c>
      <c r="C21" s="100">
        <v>1.34</v>
      </c>
      <c r="D21" s="100">
        <v>1.26</v>
      </c>
      <c r="E21" s="100">
        <v>1.29</v>
      </c>
      <c r="F21" s="100">
        <v>1.01</v>
      </c>
      <c r="G21" s="100">
        <v>1.26</v>
      </c>
      <c r="H21" s="100">
        <v>1.3</v>
      </c>
      <c r="I21" s="100">
        <v>1.2</v>
      </c>
      <c r="J21" s="100">
        <v>1.26</v>
      </c>
      <c r="K21" s="100">
        <v>1.28</v>
      </c>
      <c r="L21" s="100">
        <v>1.18</v>
      </c>
      <c r="M21" s="100">
        <v>1.19</v>
      </c>
      <c r="N21" s="100">
        <v>1.1599999999999999</v>
      </c>
      <c r="O21" s="100">
        <v>1.95</v>
      </c>
      <c r="P21" s="100">
        <v>1.4379999999999999</v>
      </c>
      <c r="Q21" s="101">
        <v>1.93</v>
      </c>
      <c r="R21" s="101">
        <v>1.86</v>
      </c>
      <c r="S21" s="101">
        <v>1.85</v>
      </c>
      <c r="T21" s="101">
        <v>2.37</v>
      </c>
      <c r="U21" s="101">
        <v>2.38</v>
      </c>
      <c r="V21" s="101">
        <v>2.39</v>
      </c>
    </row>
    <row r="22" spans="1:22" ht="13.5" hidden="1">
      <c r="A22" s="100">
        <v>93.049000000000007</v>
      </c>
      <c r="B22" s="100">
        <v>1.26</v>
      </c>
      <c r="C22" s="100">
        <v>1.39</v>
      </c>
      <c r="D22" s="100">
        <v>1.32</v>
      </c>
      <c r="E22" s="100">
        <v>1.35</v>
      </c>
      <c r="F22" s="100">
        <v>1.03</v>
      </c>
      <c r="G22" s="100">
        <v>1.21</v>
      </c>
      <c r="H22" s="100">
        <v>1.35</v>
      </c>
      <c r="I22" s="100">
        <v>1.2</v>
      </c>
      <c r="J22" s="100">
        <v>1.19</v>
      </c>
      <c r="K22" s="100">
        <v>1.27</v>
      </c>
      <c r="L22" s="100">
        <v>1.1299999999999999</v>
      </c>
      <c r="M22" s="100">
        <v>1.19</v>
      </c>
      <c r="N22" s="100">
        <v>1.1299999999999999</v>
      </c>
      <c r="O22" s="100">
        <v>1.94</v>
      </c>
      <c r="P22" s="100">
        <v>1.45</v>
      </c>
      <c r="Q22" s="101">
        <v>1.91</v>
      </c>
      <c r="R22" s="101">
        <v>1.81</v>
      </c>
      <c r="S22" s="101">
        <v>1.8</v>
      </c>
      <c r="T22" s="101">
        <v>2.33</v>
      </c>
      <c r="U22" s="101">
        <v>2.38</v>
      </c>
      <c r="V22" s="101">
        <v>2.34</v>
      </c>
    </row>
    <row r="23" spans="1:22" ht="13.5" hidden="1">
      <c r="A23" s="100">
        <v>92.9</v>
      </c>
      <c r="B23" s="100">
        <v>1.32</v>
      </c>
      <c r="C23" s="100">
        <v>1.36</v>
      </c>
      <c r="D23" s="100">
        <v>1.3</v>
      </c>
      <c r="E23" s="100">
        <v>1.33</v>
      </c>
      <c r="F23" s="100">
        <v>0.98</v>
      </c>
      <c r="G23" s="100">
        <v>1.24</v>
      </c>
      <c r="H23" s="100">
        <v>1.36</v>
      </c>
      <c r="I23" s="100">
        <v>1.19</v>
      </c>
      <c r="J23" s="100">
        <v>1.25</v>
      </c>
      <c r="K23" s="100">
        <v>1.31</v>
      </c>
      <c r="L23" s="100">
        <v>1.1499999999999999</v>
      </c>
      <c r="M23" s="100">
        <v>1.23</v>
      </c>
      <c r="N23" s="100">
        <v>1.1499999999999999</v>
      </c>
      <c r="O23" s="100">
        <v>1.95</v>
      </c>
      <c r="P23" s="100">
        <v>1.44</v>
      </c>
      <c r="Q23" s="101">
        <v>1.92</v>
      </c>
      <c r="R23" s="101">
        <v>1.83</v>
      </c>
      <c r="S23" s="101">
        <v>1.81</v>
      </c>
      <c r="T23" s="101">
        <v>2.33</v>
      </c>
      <c r="U23" s="101">
        <v>2.37</v>
      </c>
      <c r="V23" s="101">
        <v>2.34</v>
      </c>
    </row>
    <row r="24" spans="1:22" ht="13.5" hidden="1">
      <c r="A24" s="100">
        <v>93.269000000000005</v>
      </c>
      <c r="B24" s="100">
        <v>1.3</v>
      </c>
      <c r="C24" s="100">
        <v>1.35</v>
      </c>
      <c r="D24" s="100">
        <v>1.27</v>
      </c>
      <c r="E24" s="100">
        <v>1.33</v>
      </c>
      <c r="F24" s="100">
        <v>1.02</v>
      </c>
      <c r="G24" s="100">
        <v>1.19</v>
      </c>
      <c r="H24" s="100">
        <v>1.29</v>
      </c>
      <c r="I24" s="100">
        <v>1.21</v>
      </c>
      <c r="J24" s="100">
        <v>1.25</v>
      </c>
      <c r="K24" s="100">
        <v>1.27</v>
      </c>
      <c r="L24" s="100">
        <v>1.1000000000000001</v>
      </c>
      <c r="M24" s="100">
        <v>1.2</v>
      </c>
      <c r="N24" s="100">
        <v>1.18</v>
      </c>
      <c r="O24" s="100">
        <v>1.97</v>
      </c>
      <c r="P24" s="100">
        <v>1.46</v>
      </c>
      <c r="Q24" s="101">
        <v>1.85</v>
      </c>
      <c r="R24" s="101">
        <v>1.88</v>
      </c>
      <c r="S24" s="101">
        <v>1.99</v>
      </c>
      <c r="T24" s="101">
        <v>2.33</v>
      </c>
      <c r="U24" s="101">
        <v>2.37</v>
      </c>
      <c r="V24" s="101">
        <v>2.33</v>
      </c>
    </row>
    <row r="25" spans="1:22" ht="13.5" hidden="1">
      <c r="A25" s="100">
        <v>92.926000000000002</v>
      </c>
      <c r="B25" s="100">
        <v>1.25</v>
      </c>
      <c r="C25" s="100">
        <v>1.38</v>
      </c>
      <c r="D25" s="100">
        <v>1.32</v>
      </c>
      <c r="E25" s="100">
        <v>1.34</v>
      </c>
      <c r="F25" s="100">
        <v>0.98</v>
      </c>
      <c r="G25" s="100">
        <v>1.24</v>
      </c>
      <c r="H25" s="100">
        <v>1.33</v>
      </c>
      <c r="I25" s="100">
        <v>1.18</v>
      </c>
      <c r="J25" s="100">
        <v>1.22</v>
      </c>
      <c r="K25" s="100">
        <v>1.3</v>
      </c>
      <c r="L25" s="100">
        <v>1.1299999999999999</v>
      </c>
      <c r="M25" s="100">
        <v>1.2</v>
      </c>
      <c r="N25" s="100">
        <v>1.1399999999999999</v>
      </c>
      <c r="O25" s="100">
        <v>1.95</v>
      </c>
      <c r="P25" s="100">
        <v>1.45</v>
      </c>
      <c r="Q25" s="101">
        <v>1.86</v>
      </c>
      <c r="R25" s="101">
        <v>1.87</v>
      </c>
      <c r="S25" s="101">
        <v>1.97</v>
      </c>
      <c r="T25" s="101">
        <v>2.33</v>
      </c>
      <c r="U25" s="101">
        <v>2.36</v>
      </c>
      <c r="V25" s="101">
        <v>2.34</v>
      </c>
    </row>
    <row r="26" spans="1:22" ht="13.5" hidden="1">
      <c r="A26" s="100">
        <v>93.037999999999997</v>
      </c>
      <c r="B26" s="100">
        <v>1.32</v>
      </c>
      <c r="C26" s="100">
        <v>1.32</v>
      </c>
      <c r="D26" s="100">
        <v>1.3</v>
      </c>
      <c r="E26" s="100">
        <v>1.35</v>
      </c>
      <c r="F26" s="100">
        <v>0.97</v>
      </c>
      <c r="G26" s="100">
        <v>1.21</v>
      </c>
      <c r="H26" s="100">
        <v>1.36</v>
      </c>
      <c r="I26" s="100">
        <v>1.21</v>
      </c>
      <c r="J26" s="100">
        <v>1.24</v>
      </c>
      <c r="K26" s="100">
        <v>1.27</v>
      </c>
      <c r="L26" s="100">
        <v>1.1200000000000001</v>
      </c>
      <c r="M26" s="100">
        <v>1.19</v>
      </c>
      <c r="N26" s="100">
        <v>1.17</v>
      </c>
      <c r="O26" s="100">
        <v>1.95</v>
      </c>
      <c r="P26" s="100">
        <v>1.4379999999999999</v>
      </c>
      <c r="Q26" s="101">
        <v>1.89</v>
      </c>
      <c r="R26" s="101">
        <v>1.8</v>
      </c>
      <c r="S26" s="101">
        <v>1.86</v>
      </c>
      <c r="T26" s="101">
        <v>2.33</v>
      </c>
      <c r="U26" s="101">
        <v>2.2999999999999998</v>
      </c>
      <c r="V26" s="101">
        <v>2.2999999999999998</v>
      </c>
    </row>
    <row r="27" spans="1:22" ht="13.5" hidden="1">
      <c r="A27" s="100">
        <v>92.944000000000003</v>
      </c>
      <c r="B27" s="100">
        <v>1.28</v>
      </c>
      <c r="C27" s="100">
        <v>1.4</v>
      </c>
      <c r="D27" s="100">
        <v>1.34</v>
      </c>
      <c r="E27" s="100">
        <v>1.3</v>
      </c>
      <c r="F27" s="100">
        <v>1.04</v>
      </c>
      <c r="G27" s="100">
        <v>1.2</v>
      </c>
      <c r="H27" s="100">
        <v>1.32</v>
      </c>
      <c r="I27" s="100">
        <v>1.2</v>
      </c>
      <c r="J27" s="100">
        <v>1.24</v>
      </c>
      <c r="K27" s="100">
        <v>1.27</v>
      </c>
      <c r="L27" s="100">
        <v>1.1299999999999999</v>
      </c>
      <c r="M27" s="100">
        <v>1.21</v>
      </c>
      <c r="N27" s="100">
        <v>1.1499999999999999</v>
      </c>
      <c r="O27" s="100">
        <v>1.96</v>
      </c>
      <c r="P27" s="100">
        <v>1.42</v>
      </c>
      <c r="Q27" s="101">
        <v>1.9</v>
      </c>
      <c r="R27" s="101">
        <v>1.81</v>
      </c>
      <c r="S27" s="101">
        <v>1.86</v>
      </c>
      <c r="T27" s="101">
        <v>2.36</v>
      </c>
      <c r="U27" s="101">
        <v>2.3199999999999998</v>
      </c>
      <c r="V27" s="101">
        <v>2.3199999999999998</v>
      </c>
    </row>
    <row r="28" spans="1:22" ht="13.5" hidden="1">
      <c r="A28" s="100">
        <v>93.242999999999995</v>
      </c>
      <c r="B28" s="100">
        <v>1.3</v>
      </c>
      <c r="C28" s="100">
        <v>1.35</v>
      </c>
      <c r="D28" s="100">
        <v>1.3</v>
      </c>
      <c r="E28" s="100">
        <v>1.36</v>
      </c>
      <c r="F28" s="100">
        <v>0.98</v>
      </c>
      <c r="G28" s="100">
        <v>1.24</v>
      </c>
      <c r="H28" s="100">
        <v>1.39</v>
      </c>
      <c r="I28" s="100">
        <v>1.19</v>
      </c>
      <c r="J28" s="100">
        <v>1.26</v>
      </c>
      <c r="K28" s="100">
        <v>1.3</v>
      </c>
      <c r="L28" s="100">
        <v>1.1399999999999999</v>
      </c>
      <c r="M28" s="100">
        <v>1.21</v>
      </c>
      <c r="N28" s="100">
        <v>1.19</v>
      </c>
      <c r="O28" s="100">
        <v>1.95</v>
      </c>
      <c r="P28" s="100">
        <v>1.44</v>
      </c>
      <c r="Q28" s="101">
        <v>1.86</v>
      </c>
      <c r="R28" s="101">
        <v>1.85</v>
      </c>
      <c r="S28" s="101">
        <v>1.9</v>
      </c>
      <c r="T28" s="101">
        <v>2.39</v>
      </c>
      <c r="U28" s="101">
        <v>2.38</v>
      </c>
      <c r="V28" s="101">
        <v>2.33</v>
      </c>
    </row>
    <row r="29" spans="1:22" ht="13.5" hidden="1">
      <c r="A29" s="100">
        <v>93.037000000000006</v>
      </c>
      <c r="B29" s="100">
        <v>1.23</v>
      </c>
      <c r="C29" s="100">
        <v>1.35</v>
      </c>
      <c r="D29" s="100">
        <v>1.34</v>
      </c>
      <c r="E29" s="100">
        <v>1.32</v>
      </c>
      <c r="F29" s="100">
        <v>1.02</v>
      </c>
      <c r="G29" s="100">
        <v>1.25</v>
      </c>
      <c r="H29" s="100">
        <v>1.33</v>
      </c>
      <c r="I29" s="100">
        <v>1.22</v>
      </c>
      <c r="J29" s="100">
        <v>1.21</v>
      </c>
      <c r="K29" s="100">
        <v>1.26</v>
      </c>
      <c r="L29" s="100">
        <v>1.17</v>
      </c>
      <c r="M29" s="100">
        <v>1.18</v>
      </c>
      <c r="N29" s="100">
        <v>1.1299999999999999</v>
      </c>
      <c r="O29" s="100">
        <v>1.96</v>
      </c>
      <c r="P29" s="100">
        <v>1.46</v>
      </c>
      <c r="Q29" s="101">
        <v>1.85</v>
      </c>
      <c r="R29" s="101">
        <v>1.89</v>
      </c>
      <c r="S29" s="101">
        <v>1.86</v>
      </c>
      <c r="T29" s="101">
        <v>2.4</v>
      </c>
      <c r="U29" s="101">
        <v>2.39</v>
      </c>
      <c r="V29" s="101">
        <v>2.39</v>
      </c>
    </row>
    <row r="30" spans="1:22" ht="13.5" hidden="1">
      <c r="A30" s="100">
        <v>93.16</v>
      </c>
      <c r="B30" s="100">
        <v>1.25</v>
      </c>
      <c r="C30" s="100">
        <v>1.36</v>
      </c>
      <c r="D30" s="100">
        <v>1.25</v>
      </c>
      <c r="E30" s="100">
        <v>1.35</v>
      </c>
      <c r="F30" s="100">
        <v>1.04</v>
      </c>
      <c r="G30" s="100">
        <v>1.18</v>
      </c>
      <c r="H30" s="100">
        <v>1.29</v>
      </c>
      <c r="I30" s="100">
        <v>1.1599999999999999</v>
      </c>
      <c r="J30" s="100">
        <v>1.23</v>
      </c>
      <c r="K30" s="100">
        <v>1.28</v>
      </c>
      <c r="L30" s="100">
        <v>1.17</v>
      </c>
      <c r="M30" s="100">
        <v>1.23</v>
      </c>
      <c r="N30" s="100">
        <v>1.1299999999999999</v>
      </c>
      <c r="O30" s="100">
        <v>1.94</v>
      </c>
      <c r="P30" s="100">
        <v>1.44</v>
      </c>
      <c r="Q30" s="101">
        <v>1.9</v>
      </c>
      <c r="R30" s="101">
        <v>1.86</v>
      </c>
      <c r="S30" s="101">
        <v>1.91</v>
      </c>
      <c r="T30" s="101">
        <v>2.33</v>
      </c>
      <c r="U30" s="101">
        <v>2.31</v>
      </c>
      <c r="V30" s="101">
        <v>2.3199999999999998</v>
      </c>
    </row>
    <row r="31" spans="1:22" ht="13.5" hidden="1">
      <c r="A31" s="100">
        <v>93.003</v>
      </c>
      <c r="B31" s="100">
        <v>1.3</v>
      </c>
      <c r="C31" s="100">
        <v>1.34</v>
      </c>
      <c r="D31" s="100">
        <v>1.34</v>
      </c>
      <c r="E31" s="100">
        <v>1.36</v>
      </c>
      <c r="F31" s="100">
        <v>0.96</v>
      </c>
      <c r="G31" s="100">
        <v>1.2</v>
      </c>
      <c r="H31" s="100">
        <v>1.37</v>
      </c>
      <c r="I31" s="100">
        <v>1.22</v>
      </c>
      <c r="J31" s="100">
        <v>1.21</v>
      </c>
      <c r="K31" s="100">
        <v>1.25</v>
      </c>
      <c r="L31" s="100">
        <v>1.1100000000000001</v>
      </c>
      <c r="M31" s="100">
        <v>1.22</v>
      </c>
      <c r="N31" s="100">
        <v>1.19</v>
      </c>
      <c r="O31" s="100">
        <v>1.95</v>
      </c>
      <c r="P31" s="100">
        <v>1.44</v>
      </c>
      <c r="Q31" s="101">
        <v>1.87</v>
      </c>
      <c r="R31" s="101">
        <v>1.9</v>
      </c>
      <c r="S31" s="101">
        <v>1.9</v>
      </c>
      <c r="T31" s="101">
        <v>2.31</v>
      </c>
      <c r="U31" s="101">
        <v>2.2999999999999998</v>
      </c>
      <c r="V31" s="101">
        <v>2.3199999999999998</v>
      </c>
    </row>
    <row r="32" spans="1:22" ht="13.5" hidden="1">
      <c r="A32" s="100">
        <v>93.091999999999999</v>
      </c>
      <c r="B32" s="100">
        <v>1.25</v>
      </c>
      <c r="C32" s="100">
        <v>1.31</v>
      </c>
      <c r="D32" s="100">
        <v>1.3</v>
      </c>
      <c r="E32" s="100">
        <v>1.3</v>
      </c>
      <c r="F32" s="100">
        <v>0.98</v>
      </c>
      <c r="G32" s="100">
        <v>1.22</v>
      </c>
      <c r="H32" s="100">
        <v>1.3</v>
      </c>
      <c r="I32" s="100">
        <v>1.18</v>
      </c>
      <c r="J32" s="100">
        <v>1.23</v>
      </c>
      <c r="K32" s="100">
        <v>1.3</v>
      </c>
      <c r="L32" s="100">
        <v>1.1499999999999999</v>
      </c>
      <c r="M32" s="100">
        <v>1.24</v>
      </c>
      <c r="N32" s="100">
        <v>1.18</v>
      </c>
      <c r="O32" s="100">
        <v>1.95</v>
      </c>
      <c r="P32" s="100">
        <v>1.47</v>
      </c>
      <c r="Q32" s="101">
        <v>1.86</v>
      </c>
      <c r="R32" s="101">
        <v>1.89</v>
      </c>
      <c r="S32" s="101">
        <v>1.92</v>
      </c>
      <c r="T32" s="101">
        <v>2.34</v>
      </c>
      <c r="U32" s="101">
        <v>2.36</v>
      </c>
      <c r="V32" s="101">
        <v>2.3199999999999998</v>
      </c>
    </row>
    <row r="33" spans="1:22" ht="13.5" hidden="1">
      <c r="A33" s="100">
        <v>92.915000000000006</v>
      </c>
      <c r="B33" s="100">
        <v>1.28</v>
      </c>
      <c r="C33" s="100">
        <v>1.36</v>
      </c>
      <c r="D33" s="100">
        <v>1.27</v>
      </c>
      <c r="E33" s="100">
        <v>1.37</v>
      </c>
      <c r="F33" s="100">
        <v>1.04</v>
      </c>
      <c r="G33" s="100">
        <v>1.18</v>
      </c>
      <c r="H33" s="100">
        <v>1.35</v>
      </c>
      <c r="I33" s="100">
        <v>1.22</v>
      </c>
      <c r="J33" s="100">
        <v>1.18</v>
      </c>
      <c r="K33" s="100">
        <v>1.27</v>
      </c>
      <c r="L33" s="100">
        <v>1.1100000000000001</v>
      </c>
      <c r="M33" s="100">
        <v>1.23</v>
      </c>
      <c r="N33" s="100">
        <v>1.17</v>
      </c>
      <c r="O33" s="100">
        <v>1.98</v>
      </c>
      <c r="P33" s="100">
        <v>1.47</v>
      </c>
      <c r="Q33" s="101">
        <v>1.89</v>
      </c>
      <c r="R33" s="101">
        <v>1.94</v>
      </c>
      <c r="S33" s="101">
        <v>1.9</v>
      </c>
      <c r="T33" s="101">
        <v>2.36</v>
      </c>
      <c r="U33" s="101">
        <v>2.39</v>
      </c>
      <c r="V33" s="101">
        <v>2.31</v>
      </c>
    </row>
    <row r="34" spans="1:22" ht="13.5" hidden="1">
      <c r="A34" s="100">
        <v>93.134</v>
      </c>
      <c r="B34" s="100">
        <v>1.27</v>
      </c>
      <c r="C34" s="100">
        <v>1.39</v>
      </c>
      <c r="D34" s="100">
        <v>1.3</v>
      </c>
      <c r="E34" s="100">
        <v>1.34</v>
      </c>
      <c r="F34" s="100">
        <v>0.99</v>
      </c>
      <c r="G34" s="100">
        <v>1.23</v>
      </c>
      <c r="H34" s="100">
        <v>1.31</v>
      </c>
      <c r="I34" s="100">
        <v>1.21</v>
      </c>
      <c r="J34" s="100">
        <v>1.24</v>
      </c>
      <c r="K34" s="100">
        <v>1.29</v>
      </c>
      <c r="L34" s="100">
        <v>1.1299999999999999</v>
      </c>
      <c r="M34" s="100">
        <v>1.2</v>
      </c>
      <c r="N34" s="100">
        <v>1.21</v>
      </c>
      <c r="O34" s="100">
        <v>1.96</v>
      </c>
      <c r="P34" s="100">
        <v>1.43</v>
      </c>
      <c r="Q34" s="101">
        <v>1.86</v>
      </c>
      <c r="R34" s="101">
        <v>1.95</v>
      </c>
      <c r="S34" s="101">
        <v>1.91</v>
      </c>
      <c r="T34" s="101">
        <v>2.39</v>
      </c>
      <c r="U34" s="101">
        <v>2.34</v>
      </c>
      <c r="V34" s="101">
        <v>2.34</v>
      </c>
    </row>
    <row r="35" spans="1:22" ht="13.5" hidden="1">
      <c r="A35" s="100">
        <v>92.93</v>
      </c>
      <c r="B35" s="100">
        <v>1.32</v>
      </c>
      <c r="C35" s="100">
        <v>1.32</v>
      </c>
      <c r="D35" s="100">
        <v>1.34</v>
      </c>
      <c r="E35" s="100">
        <v>1.31</v>
      </c>
      <c r="F35" s="100">
        <v>0.99</v>
      </c>
      <c r="G35" s="100">
        <v>1.21</v>
      </c>
      <c r="H35" s="100">
        <v>1.39</v>
      </c>
      <c r="I35" s="100">
        <v>1.18</v>
      </c>
      <c r="J35" s="100">
        <v>1.22</v>
      </c>
      <c r="K35" s="100">
        <v>1.26</v>
      </c>
      <c r="L35" s="100">
        <v>1.17</v>
      </c>
      <c r="M35" s="100">
        <v>1.25</v>
      </c>
      <c r="N35" s="100">
        <v>1.1599999999999999</v>
      </c>
      <c r="O35" s="100">
        <v>1.95</v>
      </c>
      <c r="P35" s="100">
        <v>1.44</v>
      </c>
      <c r="Q35" s="101">
        <v>1.86</v>
      </c>
      <c r="R35" s="101">
        <v>1.93</v>
      </c>
      <c r="S35" s="101">
        <v>1.92</v>
      </c>
      <c r="T35" s="101">
        <v>2.36</v>
      </c>
      <c r="U35" s="101">
        <v>2.34</v>
      </c>
      <c r="V35" s="101">
        <v>2.33</v>
      </c>
    </row>
    <row r="36" spans="1:22" ht="13.5" hidden="1">
      <c r="A36" s="100">
        <v>93.042000000000002</v>
      </c>
      <c r="B36" s="100">
        <v>1.27</v>
      </c>
      <c r="C36" s="100">
        <v>1.36</v>
      </c>
      <c r="D36" s="100">
        <v>1.34</v>
      </c>
      <c r="E36" s="100">
        <v>1.34</v>
      </c>
      <c r="F36" s="100">
        <v>1.04</v>
      </c>
      <c r="G36" s="100">
        <v>1.26</v>
      </c>
      <c r="H36" s="100">
        <v>1.35</v>
      </c>
      <c r="I36" s="100">
        <v>1.2</v>
      </c>
      <c r="J36" s="100">
        <v>1.23</v>
      </c>
      <c r="K36" s="100">
        <v>1.3</v>
      </c>
      <c r="L36" s="100">
        <v>1.1200000000000001</v>
      </c>
      <c r="M36" s="100">
        <v>1.2</v>
      </c>
      <c r="N36" s="100">
        <v>1.22</v>
      </c>
      <c r="O36" s="100">
        <v>1.96</v>
      </c>
      <c r="P36" s="100">
        <v>1.44</v>
      </c>
      <c r="Q36" s="101">
        <v>1.82</v>
      </c>
      <c r="R36" s="101">
        <v>1.86</v>
      </c>
      <c r="S36" s="101">
        <v>1.78</v>
      </c>
      <c r="T36" s="101">
        <v>2.42</v>
      </c>
      <c r="U36" s="101">
        <v>2.36</v>
      </c>
      <c r="V36" s="101">
        <v>2.38</v>
      </c>
    </row>
    <row r="37" spans="1:22" hidden="1">
      <c r="A37" s="99">
        <v>93.058999999999997</v>
      </c>
      <c r="B37" s="100">
        <v>1.33</v>
      </c>
      <c r="C37" s="100">
        <v>1.32</v>
      </c>
      <c r="D37" s="100">
        <v>1.28</v>
      </c>
      <c r="E37" s="100">
        <v>1.31</v>
      </c>
      <c r="F37" s="100">
        <v>0.96</v>
      </c>
      <c r="G37" s="100">
        <v>1.18</v>
      </c>
      <c r="H37" s="100">
        <v>1.3</v>
      </c>
      <c r="I37" s="100">
        <v>1.1599999999999999</v>
      </c>
      <c r="J37" s="100">
        <v>1.25</v>
      </c>
      <c r="K37" s="100">
        <v>1.24</v>
      </c>
      <c r="L37" s="100">
        <v>1.17</v>
      </c>
      <c r="M37" s="100">
        <v>1.19</v>
      </c>
      <c r="N37" s="100">
        <v>1.1200000000000001</v>
      </c>
      <c r="O37" s="100">
        <v>1.95</v>
      </c>
      <c r="P37" s="100">
        <v>1.45</v>
      </c>
      <c r="Q37" s="101">
        <v>1.83</v>
      </c>
      <c r="R37" s="101">
        <v>1.86</v>
      </c>
      <c r="S37" s="101">
        <v>1.8</v>
      </c>
      <c r="T37" s="101">
        <v>2.42</v>
      </c>
      <c r="U37" s="101">
        <v>2.39</v>
      </c>
      <c r="V37" s="101">
        <v>2.38</v>
      </c>
    </row>
    <row r="38" spans="1:22" hidden="1">
      <c r="A38" s="99">
        <v>93.031000000000006</v>
      </c>
      <c r="B38" s="100">
        <v>1.27</v>
      </c>
      <c r="C38" s="100">
        <v>1.35</v>
      </c>
      <c r="D38" s="100">
        <v>1.32</v>
      </c>
      <c r="E38" s="100">
        <v>1.36</v>
      </c>
      <c r="F38" s="100">
        <v>0.98</v>
      </c>
      <c r="G38" s="100">
        <v>1.19</v>
      </c>
      <c r="H38" s="100">
        <v>1.28</v>
      </c>
      <c r="I38" s="100">
        <v>1.23</v>
      </c>
      <c r="J38" s="100">
        <v>1.22</v>
      </c>
      <c r="K38" s="100">
        <v>1.27</v>
      </c>
      <c r="L38" s="100">
        <v>1.1200000000000001</v>
      </c>
      <c r="M38" s="100">
        <v>1.19</v>
      </c>
      <c r="N38" s="100">
        <v>1.1499999999999999</v>
      </c>
      <c r="O38" s="100">
        <v>1.95</v>
      </c>
      <c r="P38" s="100">
        <v>1.48</v>
      </c>
      <c r="Q38" s="101">
        <v>1.82</v>
      </c>
      <c r="R38" s="101">
        <v>1.84</v>
      </c>
      <c r="S38" s="101">
        <v>1.85</v>
      </c>
      <c r="T38" s="101">
        <v>2.37</v>
      </c>
      <c r="U38" s="101">
        <v>2.36</v>
      </c>
      <c r="V38" s="101">
        <v>2.37</v>
      </c>
    </row>
    <row r="39" spans="1:22" hidden="1">
      <c r="A39" s="99">
        <v>93.179000000000002</v>
      </c>
      <c r="B39" s="100">
        <v>1.29</v>
      </c>
      <c r="C39" s="100">
        <v>1.36</v>
      </c>
      <c r="D39" s="100">
        <v>1.32</v>
      </c>
      <c r="E39" s="100">
        <v>1.33</v>
      </c>
      <c r="F39" s="100">
        <v>0.99</v>
      </c>
      <c r="G39" s="100">
        <v>1.22</v>
      </c>
      <c r="H39" s="100">
        <v>1.36</v>
      </c>
      <c r="I39" s="100">
        <v>1.19</v>
      </c>
      <c r="J39" s="100">
        <v>1.25</v>
      </c>
      <c r="K39" s="100">
        <v>1.28</v>
      </c>
      <c r="L39" s="100">
        <v>1.1499999999999999</v>
      </c>
      <c r="M39" s="100">
        <v>1.2</v>
      </c>
      <c r="N39" s="100">
        <v>1.21</v>
      </c>
      <c r="O39" s="100">
        <v>1.94</v>
      </c>
      <c r="P39" s="100">
        <v>1.43</v>
      </c>
      <c r="Q39" s="101">
        <v>1.86</v>
      </c>
      <c r="R39" s="101">
        <v>1.85</v>
      </c>
      <c r="S39" s="101">
        <v>1.82</v>
      </c>
      <c r="T39" s="101">
        <v>2.36</v>
      </c>
      <c r="U39" s="101">
        <v>2.37</v>
      </c>
      <c r="V39" s="101">
        <v>2.35</v>
      </c>
    </row>
    <row r="40" spans="1:22" hidden="1">
      <c r="A40" s="99">
        <v>93.206000000000003</v>
      </c>
      <c r="B40" s="100">
        <v>1.3</v>
      </c>
      <c r="C40" s="100">
        <v>1.33</v>
      </c>
      <c r="D40" s="100">
        <v>1.26</v>
      </c>
      <c r="E40" s="100">
        <v>1.34</v>
      </c>
      <c r="F40" s="100">
        <v>1</v>
      </c>
      <c r="G40" s="100">
        <v>1.18</v>
      </c>
      <c r="H40" s="100">
        <v>1.38</v>
      </c>
      <c r="I40" s="100">
        <v>1.17</v>
      </c>
      <c r="J40" s="100">
        <v>1.22</v>
      </c>
      <c r="K40" s="100">
        <v>1.27</v>
      </c>
      <c r="L40" s="100">
        <v>1.18</v>
      </c>
      <c r="M40" s="100">
        <v>1.19</v>
      </c>
      <c r="N40" s="100">
        <v>1.1299999999999999</v>
      </c>
      <c r="O40" s="100">
        <v>1.98</v>
      </c>
      <c r="P40" s="100">
        <v>1.45</v>
      </c>
      <c r="Q40" s="101">
        <v>1.84</v>
      </c>
      <c r="R40" s="101">
        <v>1.86</v>
      </c>
      <c r="S40" s="101">
        <v>1.83</v>
      </c>
      <c r="T40" s="101">
        <v>2.39</v>
      </c>
      <c r="U40" s="101">
        <v>2.34</v>
      </c>
      <c r="V40" s="101">
        <v>2.35</v>
      </c>
    </row>
    <row r="41" spans="1:22" hidden="1">
      <c r="A41" s="99">
        <v>93.027999999999992</v>
      </c>
      <c r="B41" s="100">
        <v>1.29</v>
      </c>
      <c r="C41" s="100">
        <v>1.36</v>
      </c>
      <c r="D41" s="100">
        <v>1.3</v>
      </c>
      <c r="E41" s="100">
        <v>1.29</v>
      </c>
      <c r="F41" s="100">
        <v>0.99</v>
      </c>
      <c r="G41" s="100">
        <v>1.26</v>
      </c>
      <c r="H41" s="100">
        <v>1.3</v>
      </c>
      <c r="I41" s="100">
        <v>1.23</v>
      </c>
      <c r="J41" s="100">
        <v>1.24</v>
      </c>
      <c r="K41" s="100">
        <v>1.32</v>
      </c>
      <c r="L41" s="100">
        <v>1.1299999999999999</v>
      </c>
      <c r="M41" s="100">
        <v>1.21</v>
      </c>
      <c r="N41" s="100">
        <v>1.1599999999999999</v>
      </c>
      <c r="O41" s="100">
        <v>1.96</v>
      </c>
      <c r="P41" s="100">
        <v>1.44</v>
      </c>
      <c r="Q41" s="101">
        <v>1.81</v>
      </c>
      <c r="R41" s="101">
        <v>1.84</v>
      </c>
      <c r="S41" s="101">
        <v>1.8</v>
      </c>
      <c r="T41" s="101">
        <v>2.38</v>
      </c>
      <c r="U41" s="101">
        <v>2.36</v>
      </c>
      <c r="V41" s="101">
        <v>2.38</v>
      </c>
    </row>
    <row r="42" spans="1:22" hidden="1">
      <c r="A42" s="99">
        <v>93.204000000000008</v>
      </c>
      <c r="B42" s="100">
        <v>1.31</v>
      </c>
      <c r="C42" s="100">
        <v>1.31</v>
      </c>
      <c r="D42" s="100">
        <v>1.3</v>
      </c>
      <c r="E42" s="100">
        <v>1.34</v>
      </c>
      <c r="F42" s="100">
        <v>0.99</v>
      </c>
      <c r="G42" s="100">
        <v>1.17</v>
      </c>
      <c r="H42" s="100">
        <v>1.34</v>
      </c>
      <c r="I42" s="100">
        <v>1.21</v>
      </c>
      <c r="J42" s="100">
        <v>1.22</v>
      </c>
      <c r="K42" s="100">
        <v>1.27</v>
      </c>
      <c r="L42" s="100">
        <v>1.17</v>
      </c>
      <c r="M42" s="100">
        <v>1.25</v>
      </c>
      <c r="N42" s="100">
        <v>1.19</v>
      </c>
      <c r="O42" s="100">
        <v>1.95</v>
      </c>
      <c r="P42" s="100">
        <v>1.44</v>
      </c>
      <c r="Q42" s="101">
        <v>1.89</v>
      </c>
      <c r="R42" s="101">
        <v>1.92</v>
      </c>
      <c r="S42" s="101">
        <v>1.89</v>
      </c>
      <c r="T42" s="101">
        <v>2.2999999999999998</v>
      </c>
      <c r="U42" s="101">
        <v>2.33</v>
      </c>
      <c r="V42" s="101">
        <v>2.29</v>
      </c>
    </row>
    <row r="43" spans="1:22" hidden="1">
      <c r="A43" s="99">
        <v>93.054000000000002</v>
      </c>
      <c r="B43" s="100">
        <v>1.31</v>
      </c>
      <c r="C43" s="100">
        <v>1.31</v>
      </c>
      <c r="D43" s="100">
        <v>1.33</v>
      </c>
      <c r="E43" s="100">
        <v>1.37</v>
      </c>
      <c r="F43" s="100">
        <v>1.01</v>
      </c>
      <c r="G43" s="100">
        <v>1.24</v>
      </c>
      <c r="H43" s="100">
        <v>1.34</v>
      </c>
      <c r="I43" s="100">
        <v>1.22</v>
      </c>
      <c r="J43" s="100">
        <v>1.24</v>
      </c>
      <c r="K43" s="100">
        <v>1.29</v>
      </c>
      <c r="L43" s="100">
        <v>1.1299999999999999</v>
      </c>
      <c r="M43" s="100">
        <v>1.24</v>
      </c>
      <c r="N43" s="100">
        <v>1.22</v>
      </c>
      <c r="O43" s="100">
        <v>1.96</v>
      </c>
      <c r="P43" s="100">
        <v>1.47</v>
      </c>
      <c r="Q43" s="101">
        <v>1.9</v>
      </c>
      <c r="R43" s="101">
        <v>1.92</v>
      </c>
      <c r="S43" s="101">
        <v>1.89</v>
      </c>
      <c r="T43" s="101">
        <v>2.2999999999999998</v>
      </c>
      <c r="U43" s="101">
        <v>2.34</v>
      </c>
      <c r="V43" s="101">
        <v>2.29</v>
      </c>
    </row>
    <row r="44" spans="1:22" hidden="1">
      <c r="A44" s="99">
        <v>93.10499999999999</v>
      </c>
      <c r="B44" s="100">
        <v>1.26</v>
      </c>
      <c r="C44" s="100">
        <v>1.39</v>
      </c>
      <c r="D44" s="100">
        <v>1.3</v>
      </c>
      <c r="E44" s="100">
        <v>1.31</v>
      </c>
      <c r="F44" s="100">
        <v>0.96</v>
      </c>
      <c r="G44" s="100">
        <v>1.19</v>
      </c>
      <c r="H44" s="100">
        <v>1.32</v>
      </c>
      <c r="I44" s="100">
        <v>1.17</v>
      </c>
      <c r="J44" s="100">
        <v>1.22</v>
      </c>
      <c r="K44" s="100">
        <v>1.27</v>
      </c>
      <c r="L44" s="100">
        <v>1.1599999999999999</v>
      </c>
      <c r="M44" s="100">
        <v>1.23</v>
      </c>
      <c r="N44" s="100">
        <v>1.21</v>
      </c>
      <c r="O44" s="100">
        <v>1.98</v>
      </c>
      <c r="P44" s="100">
        <v>1.43</v>
      </c>
      <c r="Q44" s="101">
        <v>1.82</v>
      </c>
      <c r="R44" s="101">
        <v>1.86</v>
      </c>
      <c r="S44" s="101">
        <v>1.8</v>
      </c>
      <c r="T44" s="101">
        <v>2.34</v>
      </c>
      <c r="U44" s="101">
        <v>2.36</v>
      </c>
      <c r="V44" s="101">
        <v>2.33</v>
      </c>
    </row>
    <row r="45" spans="1:22" hidden="1">
      <c r="A45" s="99">
        <v>93.081000000000003</v>
      </c>
      <c r="B45" s="100">
        <v>1.32</v>
      </c>
      <c r="C45" s="100">
        <v>1.33</v>
      </c>
      <c r="D45" s="100">
        <v>1.29</v>
      </c>
      <c r="E45" s="100">
        <v>1.31</v>
      </c>
      <c r="F45" s="100">
        <v>0.98</v>
      </c>
      <c r="G45" s="100">
        <v>1.23</v>
      </c>
      <c r="H45" s="100">
        <v>1.37</v>
      </c>
      <c r="I45" s="100">
        <v>1.2</v>
      </c>
      <c r="J45" s="100">
        <v>1.23</v>
      </c>
      <c r="K45" s="100">
        <v>1.31</v>
      </c>
      <c r="L45" s="100">
        <v>1.1499999999999999</v>
      </c>
      <c r="M45" s="100">
        <v>1.17</v>
      </c>
      <c r="N45" s="100">
        <v>1.1499999999999999</v>
      </c>
      <c r="O45" s="100">
        <v>1.96</v>
      </c>
      <c r="P45" s="100">
        <v>1.45</v>
      </c>
      <c r="Q45" s="101">
        <v>1.83</v>
      </c>
      <c r="R45" s="101">
        <v>1.86</v>
      </c>
      <c r="S45" s="101">
        <v>1.8</v>
      </c>
      <c r="T45" s="101">
        <v>2.35</v>
      </c>
      <c r="U45" s="101">
        <v>2.38</v>
      </c>
      <c r="V45" s="101">
        <v>2.35</v>
      </c>
    </row>
    <row r="46" spans="1:22" hidden="1">
      <c r="A46" s="99">
        <v>93.206000000000003</v>
      </c>
      <c r="B46" s="100">
        <v>1.31</v>
      </c>
      <c r="C46" s="100">
        <v>1.31</v>
      </c>
      <c r="D46" s="100">
        <v>1.29</v>
      </c>
      <c r="E46" s="100">
        <v>1.36</v>
      </c>
      <c r="F46" s="100">
        <v>1.02</v>
      </c>
      <c r="G46" s="100">
        <v>1.18</v>
      </c>
      <c r="H46" s="100">
        <v>1.33</v>
      </c>
      <c r="I46" s="100">
        <v>1.2</v>
      </c>
      <c r="J46" s="100">
        <v>1.21</v>
      </c>
      <c r="K46" s="100">
        <v>1.28</v>
      </c>
      <c r="L46" s="100">
        <v>1.1399999999999999</v>
      </c>
      <c r="M46" s="100">
        <v>1.23</v>
      </c>
      <c r="N46" s="100">
        <v>1.1399999999999999</v>
      </c>
      <c r="O46" s="100">
        <v>1.95</v>
      </c>
      <c r="P46" s="100">
        <v>1.46</v>
      </c>
      <c r="Q46" s="101">
        <v>1.86</v>
      </c>
      <c r="R46" s="101">
        <v>1.84</v>
      </c>
      <c r="S46" s="101">
        <v>1.92</v>
      </c>
      <c r="T46" s="101">
        <v>2.3199999999999998</v>
      </c>
      <c r="U46" s="101">
        <v>2.35</v>
      </c>
      <c r="V46" s="101">
        <v>2.36</v>
      </c>
    </row>
    <row r="47" spans="1:22" hidden="1">
      <c r="A47" s="99">
        <v>93.004999999999995</v>
      </c>
      <c r="B47" s="100">
        <v>1.29</v>
      </c>
      <c r="C47" s="100">
        <v>1.38</v>
      </c>
      <c r="D47" s="100">
        <v>1.32</v>
      </c>
      <c r="E47" s="100">
        <v>1.29</v>
      </c>
      <c r="F47" s="100">
        <v>0.99</v>
      </c>
      <c r="G47" s="100">
        <v>1.21</v>
      </c>
      <c r="H47" s="100">
        <v>1.36</v>
      </c>
      <c r="I47" s="100">
        <v>1.19</v>
      </c>
      <c r="J47" s="100">
        <v>1.23</v>
      </c>
      <c r="K47" s="100">
        <v>1.26</v>
      </c>
      <c r="L47" s="100">
        <v>1.17</v>
      </c>
      <c r="M47" s="100">
        <v>1.22</v>
      </c>
      <c r="N47" s="100">
        <v>1.1499999999999999</v>
      </c>
      <c r="O47" s="100">
        <v>1.95</v>
      </c>
      <c r="P47" s="100">
        <v>1.43</v>
      </c>
      <c r="Q47" s="101">
        <v>1.85</v>
      </c>
      <c r="R47" s="101">
        <v>1.87</v>
      </c>
      <c r="S47" s="101">
        <v>1.89</v>
      </c>
      <c r="T47" s="101">
        <v>2.34</v>
      </c>
      <c r="U47" s="101">
        <v>2.34</v>
      </c>
      <c r="V47" s="101">
        <v>2.31</v>
      </c>
    </row>
    <row r="48" spans="1:22" hidden="1">
      <c r="A48" s="99">
        <v>93.181000000000012</v>
      </c>
      <c r="B48" s="100">
        <v>1.29</v>
      </c>
      <c r="C48" s="100">
        <v>1.32</v>
      </c>
      <c r="D48" s="100">
        <v>1.33</v>
      </c>
      <c r="E48" s="100">
        <v>1.37</v>
      </c>
      <c r="F48" s="100">
        <v>0.99</v>
      </c>
      <c r="G48" s="100">
        <v>1.1599999999999999</v>
      </c>
      <c r="H48" s="100">
        <v>1.37</v>
      </c>
      <c r="I48" s="100">
        <v>1.2</v>
      </c>
      <c r="J48" s="100">
        <v>1.26</v>
      </c>
      <c r="K48" s="100">
        <v>1.29</v>
      </c>
      <c r="L48" s="100">
        <v>1.1200000000000001</v>
      </c>
      <c r="M48" s="100">
        <v>1.21</v>
      </c>
      <c r="N48" s="100">
        <v>1.17</v>
      </c>
      <c r="O48" s="100">
        <v>1.95</v>
      </c>
      <c r="P48" s="100">
        <v>1.45</v>
      </c>
      <c r="Q48" s="101">
        <v>1.86</v>
      </c>
      <c r="R48" s="101">
        <v>1.82</v>
      </c>
      <c r="S48" s="101">
        <v>1.9</v>
      </c>
      <c r="T48" s="101">
        <v>2.35</v>
      </c>
      <c r="U48" s="101">
        <v>2.36</v>
      </c>
      <c r="V48" s="101">
        <v>2.3199999999999998</v>
      </c>
    </row>
    <row r="49" spans="1:22" hidden="1">
      <c r="A49" s="99">
        <v>93.016000000000005</v>
      </c>
      <c r="B49" s="100">
        <v>1.29</v>
      </c>
      <c r="C49" s="100">
        <v>1.35</v>
      </c>
      <c r="D49" s="100">
        <v>1.3</v>
      </c>
      <c r="E49" s="100">
        <v>1.31</v>
      </c>
      <c r="F49" s="100">
        <v>1</v>
      </c>
      <c r="G49" s="100">
        <v>1.22</v>
      </c>
      <c r="H49" s="100">
        <v>1.32</v>
      </c>
      <c r="I49" s="100">
        <v>1.17</v>
      </c>
      <c r="J49" s="100">
        <v>1.2</v>
      </c>
      <c r="K49" s="100">
        <v>1.26</v>
      </c>
      <c r="L49" s="100">
        <v>1.1200000000000001</v>
      </c>
      <c r="M49" s="100">
        <v>1.18</v>
      </c>
      <c r="N49" s="100">
        <v>1.2</v>
      </c>
      <c r="O49" s="100">
        <v>1.96</v>
      </c>
      <c r="P49" s="100">
        <v>1.43</v>
      </c>
      <c r="Q49" s="101">
        <v>1.89</v>
      </c>
      <c r="R49" s="101">
        <v>1.86</v>
      </c>
      <c r="S49" s="101">
        <v>1.89</v>
      </c>
      <c r="T49" s="101">
        <v>2.38</v>
      </c>
      <c r="U49" s="101">
        <v>2.39</v>
      </c>
      <c r="V49" s="101">
        <v>2.36</v>
      </c>
    </row>
    <row r="50" spans="1:22" hidden="1">
      <c r="A50" s="99">
        <v>93.164000000000001</v>
      </c>
      <c r="B50" s="100">
        <v>1.27</v>
      </c>
      <c r="C50" s="100">
        <v>1.32</v>
      </c>
      <c r="D50" s="100">
        <v>1.34</v>
      </c>
      <c r="E50" s="100">
        <v>1.3</v>
      </c>
      <c r="F50" s="100">
        <v>0.97</v>
      </c>
      <c r="G50" s="100">
        <v>1.2</v>
      </c>
      <c r="H50" s="100">
        <v>1.36</v>
      </c>
      <c r="I50" s="100">
        <v>1.18</v>
      </c>
      <c r="J50" s="100">
        <v>1.23</v>
      </c>
      <c r="K50" s="100">
        <v>1.29</v>
      </c>
      <c r="L50" s="100">
        <v>1.1299999999999999</v>
      </c>
      <c r="M50" s="100">
        <v>1.23</v>
      </c>
      <c r="N50" s="100">
        <v>1.18</v>
      </c>
      <c r="O50" s="100">
        <v>1.95</v>
      </c>
      <c r="P50" s="100">
        <v>1.45</v>
      </c>
      <c r="Q50" s="101">
        <v>1.89</v>
      </c>
      <c r="R50" s="101">
        <v>1.95</v>
      </c>
      <c r="S50" s="101">
        <v>1.85</v>
      </c>
      <c r="T50" s="101">
        <v>2.34</v>
      </c>
      <c r="U50" s="101">
        <v>2.34</v>
      </c>
      <c r="V50" s="101">
        <v>2.37</v>
      </c>
    </row>
    <row r="51" spans="1:22" hidden="1">
      <c r="A51" s="99">
        <v>93.015000000000001</v>
      </c>
      <c r="B51" s="100">
        <v>1.33</v>
      </c>
      <c r="C51" s="100">
        <v>1.36</v>
      </c>
      <c r="D51" s="100">
        <v>1.29</v>
      </c>
      <c r="E51" s="100">
        <v>1.36</v>
      </c>
      <c r="F51" s="100">
        <v>1</v>
      </c>
      <c r="G51" s="100">
        <v>1.17</v>
      </c>
      <c r="H51" s="100">
        <v>1.33</v>
      </c>
      <c r="I51" s="100">
        <v>1.23</v>
      </c>
      <c r="J51" s="100">
        <v>1.22</v>
      </c>
      <c r="K51" s="100">
        <v>1.27</v>
      </c>
      <c r="L51" s="100">
        <v>1.18</v>
      </c>
      <c r="M51" s="100">
        <v>1.17</v>
      </c>
      <c r="N51" s="100">
        <v>1.1299999999999999</v>
      </c>
      <c r="O51" s="100">
        <v>1.98</v>
      </c>
      <c r="P51" s="100">
        <v>1.47</v>
      </c>
      <c r="Q51" s="101">
        <v>1.9</v>
      </c>
      <c r="R51" s="101">
        <v>1.88</v>
      </c>
      <c r="S51" s="101">
        <v>1.83</v>
      </c>
      <c r="T51" s="101">
        <v>2.34</v>
      </c>
      <c r="U51" s="101">
        <v>2.35</v>
      </c>
      <c r="V51" s="101">
        <v>2.37</v>
      </c>
    </row>
    <row r="52" spans="1:22" hidden="1">
      <c r="A52" s="99">
        <v>93.061000000000007</v>
      </c>
      <c r="B52" s="100">
        <v>1.28</v>
      </c>
      <c r="C52" s="100">
        <v>1.34</v>
      </c>
      <c r="D52" s="100">
        <v>1.32</v>
      </c>
      <c r="E52" s="100">
        <v>1.32</v>
      </c>
      <c r="F52" s="100">
        <v>0.97</v>
      </c>
      <c r="G52" s="100">
        <v>1.26</v>
      </c>
      <c r="H52" s="100">
        <v>1.37</v>
      </c>
      <c r="I52" s="100">
        <v>1.18</v>
      </c>
      <c r="J52" s="100">
        <v>1.25</v>
      </c>
      <c r="K52" s="100">
        <v>1.26</v>
      </c>
      <c r="L52" s="100">
        <v>1.18</v>
      </c>
      <c r="M52" s="100">
        <v>1.23</v>
      </c>
      <c r="N52" s="100">
        <v>1.21</v>
      </c>
      <c r="O52" s="100">
        <v>1.95</v>
      </c>
      <c r="P52" s="100">
        <v>1.45</v>
      </c>
      <c r="Q52" s="101">
        <v>1.8</v>
      </c>
      <c r="R52" s="101">
        <v>1.86</v>
      </c>
      <c r="S52" s="101">
        <v>1.81</v>
      </c>
      <c r="T52" s="101">
        <v>2.33</v>
      </c>
      <c r="U52" s="101">
        <v>2.3199999999999998</v>
      </c>
      <c r="V52" s="101">
        <v>2.34</v>
      </c>
    </row>
    <row r="53" spans="1:22" hidden="1">
      <c r="A53" s="99">
        <v>93.156000000000006</v>
      </c>
      <c r="B53" s="100">
        <v>1.27</v>
      </c>
      <c r="C53" s="100">
        <v>1.4</v>
      </c>
      <c r="D53" s="100">
        <v>1.3</v>
      </c>
      <c r="E53" s="100">
        <v>1.36</v>
      </c>
      <c r="F53" s="100">
        <v>0.97</v>
      </c>
      <c r="G53" s="100">
        <v>1.19</v>
      </c>
      <c r="H53" s="100">
        <v>1.37</v>
      </c>
      <c r="I53" s="100">
        <v>1.21</v>
      </c>
      <c r="J53" s="100">
        <v>1.19</v>
      </c>
      <c r="K53" s="100">
        <v>1.32</v>
      </c>
      <c r="L53" s="100">
        <v>1.1100000000000001</v>
      </c>
      <c r="M53" s="100">
        <v>1.2</v>
      </c>
      <c r="N53" s="100">
        <v>1.1299999999999999</v>
      </c>
      <c r="O53" s="100">
        <v>1.97</v>
      </c>
      <c r="P53" s="100">
        <v>1.46</v>
      </c>
      <c r="Q53" s="101">
        <v>1.8</v>
      </c>
      <c r="R53" s="101">
        <v>1.84</v>
      </c>
      <c r="S53" s="101">
        <v>1.82</v>
      </c>
      <c r="T53" s="101">
        <v>2.33</v>
      </c>
      <c r="U53" s="101">
        <v>2.3199999999999998</v>
      </c>
      <c r="V53" s="101">
        <v>2.34</v>
      </c>
    </row>
    <row r="54" spans="1:22" hidden="1">
      <c r="A54" s="99">
        <v>93.012</v>
      </c>
      <c r="B54" s="100">
        <v>1.32</v>
      </c>
      <c r="C54" s="100">
        <v>1.36</v>
      </c>
      <c r="D54" s="100">
        <v>1.33</v>
      </c>
      <c r="E54" s="100">
        <v>1.32</v>
      </c>
      <c r="F54" s="100">
        <v>1.01</v>
      </c>
      <c r="G54" s="100">
        <v>1.21</v>
      </c>
      <c r="H54" s="100">
        <v>1.3</v>
      </c>
      <c r="I54" s="100">
        <v>1.21</v>
      </c>
      <c r="J54" s="100">
        <v>1.23</v>
      </c>
      <c r="K54" s="100">
        <v>1.26</v>
      </c>
      <c r="L54" s="100">
        <v>1.1599999999999999</v>
      </c>
      <c r="M54" s="100">
        <v>1.21</v>
      </c>
      <c r="N54" s="100">
        <v>1.19</v>
      </c>
      <c r="O54" s="100">
        <v>1.96</v>
      </c>
      <c r="P54" s="100">
        <v>1.42</v>
      </c>
      <c r="Q54" s="101">
        <v>1.81</v>
      </c>
      <c r="R54" s="101">
        <v>1.86</v>
      </c>
      <c r="S54" s="101">
        <v>1.82</v>
      </c>
      <c r="T54" s="101">
        <v>2.36</v>
      </c>
      <c r="U54" s="101">
        <v>2.35</v>
      </c>
      <c r="V54" s="101">
        <v>2.34</v>
      </c>
    </row>
    <row r="55" spans="1:22" hidden="1">
      <c r="A55" s="99">
        <v>93.001000000000005</v>
      </c>
      <c r="B55" s="100">
        <v>1.26</v>
      </c>
      <c r="C55" s="100">
        <v>1.35</v>
      </c>
      <c r="D55" s="100">
        <v>1.29</v>
      </c>
      <c r="E55" s="100">
        <v>1.34</v>
      </c>
      <c r="F55" s="100">
        <v>1.03</v>
      </c>
      <c r="G55" s="100">
        <v>1.19</v>
      </c>
      <c r="H55" s="100">
        <v>1.37</v>
      </c>
      <c r="I55" s="100">
        <v>1.17</v>
      </c>
      <c r="J55" s="100">
        <v>1.21</v>
      </c>
      <c r="K55" s="100">
        <v>1.25</v>
      </c>
      <c r="L55" s="100">
        <v>1.1200000000000001</v>
      </c>
      <c r="M55" s="100">
        <v>1.23</v>
      </c>
      <c r="N55" s="100">
        <v>1.1299999999999999</v>
      </c>
      <c r="O55" s="100">
        <v>1.95</v>
      </c>
      <c r="P55" s="100">
        <v>1.47</v>
      </c>
      <c r="Q55" s="101">
        <v>1.82</v>
      </c>
      <c r="R55" s="101">
        <v>1.86</v>
      </c>
      <c r="S55" s="101">
        <v>1.82</v>
      </c>
      <c r="T55" s="101">
        <v>2.37</v>
      </c>
      <c r="U55" s="101">
        <v>2.36</v>
      </c>
      <c r="V55" s="101">
        <v>2.34</v>
      </c>
    </row>
    <row r="56" spans="1:22" hidden="1">
      <c r="A56" s="99">
        <v>93.072999999999993</v>
      </c>
      <c r="B56" s="100">
        <v>1.31</v>
      </c>
      <c r="C56" s="100">
        <v>1.4</v>
      </c>
      <c r="D56" s="100">
        <v>1.32</v>
      </c>
      <c r="E56" s="100">
        <v>1.29</v>
      </c>
      <c r="F56" s="100">
        <v>0.96</v>
      </c>
      <c r="G56" s="100">
        <v>1.18</v>
      </c>
      <c r="H56" s="100">
        <v>1.33</v>
      </c>
      <c r="I56" s="100">
        <v>1.23</v>
      </c>
      <c r="J56" s="100">
        <v>1.26</v>
      </c>
      <c r="K56" s="100">
        <v>1.28</v>
      </c>
      <c r="L56" s="100">
        <v>1.1499999999999999</v>
      </c>
      <c r="M56" s="100">
        <v>1.21</v>
      </c>
      <c r="N56" s="100">
        <v>1.1499999999999999</v>
      </c>
      <c r="O56" s="100">
        <v>1.96</v>
      </c>
      <c r="P56" s="100">
        <v>1.43</v>
      </c>
      <c r="Q56" s="101">
        <v>1.84</v>
      </c>
      <c r="R56" s="101">
        <v>1.8</v>
      </c>
      <c r="S56" s="101">
        <v>1.86</v>
      </c>
      <c r="T56" s="101">
        <v>2.35</v>
      </c>
      <c r="U56" s="101">
        <v>2.35</v>
      </c>
      <c r="V56" s="101">
        <v>2.37</v>
      </c>
    </row>
    <row r="57" spans="1:22" hidden="1">
      <c r="A57" s="99">
        <v>93.171000000000006</v>
      </c>
      <c r="B57" s="100">
        <v>1.29</v>
      </c>
      <c r="C57" s="100">
        <v>1.35</v>
      </c>
      <c r="D57" s="100">
        <v>1.29</v>
      </c>
      <c r="E57" s="100">
        <v>1.3</v>
      </c>
      <c r="F57" s="100">
        <v>0.96</v>
      </c>
      <c r="G57" s="100">
        <v>1.25</v>
      </c>
      <c r="H57" s="100">
        <v>1.37</v>
      </c>
      <c r="I57" s="100">
        <v>1.19</v>
      </c>
      <c r="J57" s="100">
        <v>1.19</v>
      </c>
      <c r="K57" s="100">
        <v>1.27</v>
      </c>
      <c r="L57" s="100">
        <v>1.1000000000000001</v>
      </c>
      <c r="M57" s="100">
        <v>1.21</v>
      </c>
      <c r="N57" s="100">
        <v>1.1499999999999999</v>
      </c>
      <c r="O57" s="100">
        <v>1.94</v>
      </c>
      <c r="P57" s="100">
        <v>1.44</v>
      </c>
      <c r="Q57" s="101">
        <v>1.83</v>
      </c>
      <c r="R57" s="101">
        <v>1.82</v>
      </c>
      <c r="S57" s="101">
        <v>1.85</v>
      </c>
      <c r="T57" s="101">
        <v>2.35</v>
      </c>
      <c r="U57" s="101">
        <v>2.36</v>
      </c>
      <c r="V57" s="101">
        <v>2.37</v>
      </c>
    </row>
    <row r="58" spans="1:22" hidden="1">
      <c r="A58" s="99">
        <v>93.123000000000005</v>
      </c>
      <c r="B58" s="100">
        <v>1.29</v>
      </c>
      <c r="C58" s="100">
        <v>1.38</v>
      </c>
      <c r="D58" s="100">
        <v>1.3</v>
      </c>
      <c r="E58" s="100">
        <v>1.35</v>
      </c>
      <c r="F58" s="100">
        <v>1.01</v>
      </c>
      <c r="G58" s="100">
        <v>1.19</v>
      </c>
      <c r="H58" s="100">
        <v>1.3</v>
      </c>
      <c r="I58" s="100">
        <v>1.2</v>
      </c>
      <c r="J58" s="100">
        <v>1.23</v>
      </c>
      <c r="K58" s="100">
        <v>1.3</v>
      </c>
      <c r="L58" s="100">
        <v>1.1200000000000001</v>
      </c>
      <c r="M58" s="100">
        <v>1.25</v>
      </c>
      <c r="N58" s="100">
        <v>1.1499999999999999</v>
      </c>
      <c r="O58" s="100">
        <v>1.98</v>
      </c>
      <c r="P58" s="100">
        <v>1.46</v>
      </c>
      <c r="Q58" s="101">
        <v>1.77</v>
      </c>
      <c r="R58" s="101">
        <v>1.86</v>
      </c>
      <c r="S58" s="101">
        <v>1.78</v>
      </c>
      <c r="T58" s="101">
        <v>2.36</v>
      </c>
      <c r="U58" s="101">
        <v>2.39</v>
      </c>
      <c r="V58" s="101">
        <v>2.39</v>
      </c>
    </row>
    <row r="59" spans="1:22" hidden="1">
      <c r="A59" s="99">
        <v>93.044000000000011</v>
      </c>
      <c r="B59" s="100">
        <v>1.32</v>
      </c>
      <c r="C59" s="100">
        <v>1.32</v>
      </c>
      <c r="D59" s="100">
        <v>1.3</v>
      </c>
      <c r="E59" s="100">
        <v>1.31</v>
      </c>
      <c r="F59" s="100">
        <v>0.98</v>
      </c>
      <c r="G59" s="100">
        <v>1.2</v>
      </c>
      <c r="H59" s="100">
        <v>1.34</v>
      </c>
      <c r="I59" s="100">
        <v>1.1599999999999999</v>
      </c>
      <c r="J59" s="100">
        <v>1.25</v>
      </c>
      <c r="K59" s="100">
        <v>1.28</v>
      </c>
      <c r="L59" s="100">
        <v>1.1399999999999999</v>
      </c>
      <c r="M59" s="100">
        <v>1.2</v>
      </c>
      <c r="N59" s="100">
        <v>1.1399999999999999</v>
      </c>
      <c r="O59" s="100">
        <v>1.95</v>
      </c>
      <c r="P59" s="100">
        <v>1.42</v>
      </c>
      <c r="Q59" s="101">
        <v>1.79</v>
      </c>
      <c r="R59" s="101">
        <v>1.84</v>
      </c>
      <c r="S59" s="101">
        <v>1.8</v>
      </c>
      <c r="T59" s="101">
        <v>2.38</v>
      </c>
      <c r="U59" s="101">
        <v>2.4</v>
      </c>
      <c r="V59" s="101">
        <v>2.36</v>
      </c>
    </row>
    <row r="60" spans="1:22">
      <c r="A60" s="99">
        <v>93.087999999999994</v>
      </c>
      <c r="B60" s="100">
        <v>1.33</v>
      </c>
      <c r="C60" s="100">
        <v>1.4</v>
      </c>
      <c r="D60" s="100">
        <v>1.32</v>
      </c>
      <c r="E60" s="100">
        <v>1.34</v>
      </c>
      <c r="F60" s="100">
        <v>1</v>
      </c>
      <c r="G60" s="100">
        <v>1.26</v>
      </c>
      <c r="H60" s="100">
        <v>1.37</v>
      </c>
      <c r="I60" s="100">
        <v>1.2</v>
      </c>
      <c r="J60" s="100">
        <v>1.22</v>
      </c>
      <c r="K60" s="100">
        <v>1.24</v>
      </c>
      <c r="L60" s="100">
        <v>1.1499999999999999</v>
      </c>
      <c r="M60" s="100">
        <v>1.2</v>
      </c>
      <c r="N60" s="100">
        <v>1.1499999999999999</v>
      </c>
      <c r="O60" s="100">
        <v>1.96</v>
      </c>
      <c r="P60" s="100">
        <v>1.47</v>
      </c>
      <c r="Q60" s="101">
        <v>1.84</v>
      </c>
      <c r="R60" s="101">
        <v>1.86</v>
      </c>
      <c r="S60" s="101">
        <v>1.89</v>
      </c>
      <c r="T60" s="101">
        <v>2.36</v>
      </c>
      <c r="U60" s="101">
        <v>2.39</v>
      </c>
      <c r="V60" s="101">
        <v>2.37</v>
      </c>
    </row>
    <row r="61" spans="1:22">
      <c r="A61" s="99">
        <v>93.119</v>
      </c>
      <c r="B61" s="100">
        <v>1.27</v>
      </c>
      <c r="C61" s="100">
        <v>1.37</v>
      </c>
      <c r="D61" s="100">
        <v>1.31</v>
      </c>
      <c r="E61" s="100">
        <v>1.3</v>
      </c>
      <c r="F61" s="100">
        <v>0.96</v>
      </c>
      <c r="G61" s="100">
        <v>1.18</v>
      </c>
      <c r="H61" s="100">
        <v>1.39</v>
      </c>
      <c r="I61" s="100">
        <v>1.19</v>
      </c>
      <c r="J61" s="100">
        <v>1.23</v>
      </c>
      <c r="K61" s="100">
        <v>1.28</v>
      </c>
      <c r="L61" s="100">
        <v>1.1200000000000001</v>
      </c>
      <c r="M61" s="100">
        <v>1.19</v>
      </c>
      <c r="N61" s="100">
        <v>1.2</v>
      </c>
      <c r="O61" s="100">
        <v>1.94</v>
      </c>
      <c r="P61" s="100">
        <v>1.44</v>
      </c>
      <c r="Q61" s="101">
        <v>1.86</v>
      </c>
      <c r="R61" s="101">
        <v>1.85</v>
      </c>
      <c r="S61" s="101">
        <v>1.87</v>
      </c>
      <c r="T61" s="101">
        <v>2.38</v>
      </c>
      <c r="U61" s="101">
        <v>2.36</v>
      </c>
      <c r="V61" s="101">
        <v>2.35</v>
      </c>
    </row>
    <row r="62" spans="1:22">
      <c r="A62" s="99">
        <v>93.051000000000002</v>
      </c>
      <c r="B62" s="100">
        <v>1.3</v>
      </c>
      <c r="C62" s="100">
        <v>1.34</v>
      </c>
      <c r="D62" s="100">
        <v>1.27</v>
      </c>
      <c r="E62" s="100">
        <v>1.33</v>
      </c>
      <c r="F62" s="100">
        <v>1.04</v>
      </c>
      <c r="G62" s="100">
        <v>1.22</v>
      </c>
      <c r="H62" s="100">
        <v>1.33</v>
      </c>
      <c r="I62" s="100">
        <v>1.23</v>
      </c>
      <c r="J62" s="100">
        <v>1.21</v>
      </c>
      <c r="K62" s="100">
        <v>1.31</v>
      </c>
      <c r="L62" s="100">
        <v>1.17</v>
      </c>
      <c r="M62" s="100">
        <v>1.25</v>
      </c>
      <c r="N62" s="100">
        <v>1.17</v>
      </c>
      <c r="O62" s="100">
        <v>1.94</v>
      </c>
      <c r="P62" s="100">
        <v>1.46</v>
      </c>
      <c r="Q62" s="101">
        <v>1.81</v>
      </c>
      <c r="R62" s="101">
        <v>1.83</v>
      </c>
      <c r="S62" s="101">
        <v>1.9</v>
      </c>
      <c r="T62" s="101">
        <v>2.35</v>
      </c>
      <c r="U62" s="101">
        <v>2.38</v>
      </c>
      <c r="V62" s="101">
        <v>2.36</v>
      </c>
    </row>
    <row r="63" spans="1:22">
      <c r="A63" s="99">
        <v>93.119</v>
      </c>
      <c r="B63" s="100">
        <v>1.27</v>
      </c>
      <c r="C63" s="100">
        <v>1.39</v>
      </c>
      <c r="D63" s="100">
        <v>1.27</v>
      </c>
      <c r="E63" s="100">
        <v>1.35</v>
      </c>
      <c r="F63" s="100">
        <v>0.99</v>
      </c>
      <c r="G63" s="100">
        <v>1.19</v>
      </c>
      <c r="H63" s="100">
        <v>1.31</v>
      </c>
      <c r="I63" s="100">
        <v>1.17</v>
      </c>
      <c r="J63" s="100">
        <v>1.18</v>
      </c>
      <c r="K63" s="100">
        <v>1.27</v>
      </c>
      <c r="L63" s="100">
        <v>1.1000000000000001</v>
      </c>
      <c r="M63" s="100">
        <v>1.21</v>
      </c>
      <c r="N63" s="100">
        <v>1.23</v>
      </c>
      <c r="O63" s="100">
        <v>1.96</v>
      </c>
      <c r="P63" s="100">
        <v>1.43</v>
      </c>
      <c r="Q63" s="101">
        <v>1.83</v>
      </c>
      <c r="R63" s="101">
        <v>1.84</v>
      </c>
      <c r="S63" s="101">
        <v>1.89</v>
      </c>
      <c r="T63" s="101">
        <v>2.35</v>
      </c>
      <c r="U63" s="101">
        <v>2.39</v>
      </c>
      <c r="V63" s="101">
        <v>2.39</v>
      </c>
    </row>
    <row r="64" spans="1:22">
      <c r="A64" s="99">
        <v>93.116</v>
      </c>
      <c r="B64" s="100">
        <v>1.32</v>
      </c>
      <c r="C64" s="100">
        <v>1.34</v>
      </c>
      <c r="D64" s="100">
        <v>1.31</v>
      </c>
      <c r="E64" s="100">
        <v>1.38</v>
      </c>
      <c r="F64" s="100">
        <v>1.02</v>
      </c>
      <c r="G64" s="100">
        <v>1.22</v>
      </c>
      <c r="H64" s="100">
        <v>1.37</v>
      </c>
      <c r="I64" s="100">
        <v>1.2</v>
      </c>
      <c r="J64" s="100">
        <v>1.25</v>
      </c>
      <c r="K64" s="100">
        <v>1.31</v>
      </c>
      <c r="L64" s="100">
        <v>1.0900000000000001</v>
      </c>
      <c r="M64" s="100">
        <v>1.2</v>
      </c>
      <c r="N64" s="100">
        <v>1.18</v>
      </c>
      <c r="O64" s="100">
        <v>1.95</v>
      </c>
      <c r="P64" s="100">
        <v>1.43</v>
      </c>
      <c r="Q64" s="101">
        <v>1.84</v>
      </c>
      <c r="R64" s="101">
        <v>1.91</v>
      </c>
      <c r="S64" s="101">
        <v>1.86</v>
      </c>
      <c r="T64" s="101">
        <v>2.33</v>
      </c>
      <c r="U64" s="101">
        <v>2.35</v>
      </c>
      <c r="V64" s="101">
        <v>2.34</v>
      </c>
    </row>
    <row r="65" spans="1:22">
      <c r="A65" s="99">
        <v>93.031000000000006</v>
      </c>
      <c r="B65" s="100">
        <v>1.31</v>
      </c>
      <c r="C65" s="100">
        <v>1.32</v>
      </c>
      <c r="D65" s="100">
        <v>1.33</v>
      </c>
      <c r="E65" s="100">
        <v>1.34</v>
      </c>
      <c r="F65" s="100">
        <v>0.99</v>
      </c>
      <c r="G65" s="100">
        <v>1.1599999999999999</v>
      </c>
      <c r="H65" s="100">
        <v>1.34</v>
      </c>
      <c r="I65" s="100">
        <v>1.22</v>
      </c>
      <c r="J65" s="100">
        <v>1.18</v>
      </c>
      <c r="K65" s="100">
        <v>1.26</v>
      </c>
      <c r="L65" s="100">
        <v>1.18</v>
      </c>
      <c r="M65" s="100">
        <v>1.19</v>
      </c>
      <c r="N65" s="100">
        <v>1.18</v>
      </c>
      <c r="O65" s="100">
        <v>1.98</v>
      </c>
      <c r="P65" s="100">
        <v>1.45</v>
      </c>
      <c r="Q65" s="101">
        <v>1.86</v>
      </c>
      <c r="R65" s="101">
        <v>1.92</v>
      </c>
      <c r="S65" s="101">
        <v>1.9</v>
      </c>
      <c r="T65" s="101">
        <v>2.35</v>
      </c>
      <c r="U65" s="101">
        <v>2.38</v>
      </c>
      <c r="V65" s="101">
        <v>2.36</v>
      </c>
    </row>
    <row r="66" spans="1:22" ht="15.75" customHeight="1">
      <c r="A66" s="99">
        <v>93.028999999999996</v>
      </c>
      <c r="B66" s="100">
        <v>1.28</v>
      </c>
      <c r="C66" s="100">
        <v>1.37</v>
      </c>
      <c r="D66" s="100">
        <v>1.29</v>
      </c>
      <c r="E66" s="100">
        <v>1.32</v>
      </c>
      <c r="F66" s="100">
        <v>0.98</v>
      </c>
      <c r="G66" s="100">
        <v>1.23</v>
      </c>
      <c r="H66" s="100">
        <v>1.35</v>
      </c>
      <c r="I66" s="100">
        <v>1.18</v>
      </c>
      <c r="J66" s="100">
        <v>1.25</v>
      </c>
      <c r="K66" s="100">
        <v>1.28</v>
      </c>
      <c r="L66" s="100">
        <v>1.1399999999999999</v>
      </c>
      <c r="M66" s="100">
        <v>1.23</v>
      </c>
      <c r="N66" s="100">
        <v>1.23</v>
      </c>
      <c r="O66" s="100">
        <v>1.94</v>
      </c>
      <c r="P66" s="100">
        <v>1.43</v>
      </c>
      <c r="Q66" s="101">
        <v>1.8</v>
      </c>
      <c r="R66" s="101">
        <v>1.86</v>
      </c>
      <c r="S66" s="101">
        <v>1.8</v>
      </c>
      <c r="T66" s="101">
        <v>2.33</v>
      </c>
      <c r="U66" s="101">
        <v>2.33</v>
      </c>
      <c r="V66" s="101">
        <v>2.33</v>
      </c>
    </row>
    <row r="67" spans="1:22">
      <c r="A67" s="99">
        <v>93.206000000000003</v>
      </c>
      <c r="B67" s="100">
        <v>1.26</v>
      </c>
      <c r="C67" s="100">
        <v>1.33</v>
      </c>
      <c r="D67" s="100">
        <v>1.25</v>
      </c>
      <c r="E67" s="100">
        <v>1.32</v>
      </c>
      <c r="F67" s="100">
        <v>1</v>
      </c>
      <c r="G67" s="100">
        <v>1.23</v>
      </c>
      <c r="H67" s="100">
        <v>1.29</v>
      </c>
      <c r="I67" s="100">
        <v>1.17</v>
      </c>
      <c r="J67" s="100">
        <v>1.18</v>
      </c>
      <c r="K67" s="100">
        <v>1.3</v>
      </c>
      <c r="L67" s="100">
        <v>1.18</v>
      </c>
      <c r="M67" s="100">
        <v>1.25</v>
      </c>
      <c r="N67" s="100">
        <v>1.1499999999999999</v>
      </c>
      <c r="O67" s="100">
        <v>1.97</v>
      </c>
      <c r="P67" s="100">
        <v>1.42</v>
      </c>
      <c r="Q67" s="101">
        <v>1.8</v>
      </c>
      <c r="R67" s="101">
        <v>1.84</v>
      </c>
      <c r="S67" s="101">
        <v>1.82</v>
      </c>
      <c r="T67" s="101">
        <v>2.33</v>
      </c>
      <c r="U67" s="101">
        <v>2.34</v>
      </c>
      <c r="V67" s="101">
        <v>2.35</v>
      </c>
    </row>
    <row r="68" spans="1:22">
      <c r="A68" s="99">
        <v>93.007999999999996</v>
      </c>
      <c r="B68" s="100">
        <v>1.29</v>
      </c>
      <c r="C68" s="100">
        <v>1.39</v>
      </c>
      <c r="D68" s="100">
        <v>1.28</v>
      </c>
      <c r="E68" s="100">
        <v>1.36</v>
      </c>
      <c r="F68" s="100">
        <v>0.99</v>
      </c>
      <c r="G68" s="100">
        <v>1.2</v>
      </c>
      <c r="H68" s="100">
        <v>1.39</v>
      </c>
      <c r="I68" s="100">
        <v>1.21</v>
      </c>
      <c r="J68" s="100">
        <v>1.25</v>
      </c>
      <c r="K68" s="100">
        <v>1.28</v>
      </c>
      <c r="L68" s="100">
        <v>1.1100000000000001</v>
      </c>
      <c r="M68" s="100">
        <v>1.24</v>
      </c>
      <c r="N68" s="100">
        <v>1.1599999999999999</v>
      </c>
      <c r="O68" s="100">
        <v>1.95</v>
      </c>
      <c r="P68" s="100">
        <v>1.44</v>
      </c>
      <c r="Q68" s="101">
        <v>1.82</v>
      </c>
      <c r="R68" s="101">
        <v>1.86</v>
      </c>
      <c r="S68" s="101">
        <v>1.81</v>
      </c>
      <c r="T68" s="101">
        <v>2.36</v>
      </c>
      <c r="U68" s="101">
        <v>2.34</v>
      </c>
      <c r="V68" s="101">
        <v>2.36</v>
      </c>
    </row>
    <row r="69" spans="1:22">
      <c r="A69" s="99">
        <v>93.073999999999998</v>
      </c>
      <c r="B69" s="100">
        <v>1.26</v>
      </c>
      <c r="C69" s="100">
        <v>1.35</v>
      </c>
      <c r="D69" s="100">
        <v>1.33</v>
      </c>
      <c r="E69" s="100">
        <v>1.32</v>
      </c>
      <c r="F69" s="100">
        <v>1.02</v>
      </c>
      <c r="G69" s="100">
        <v>1.24</v>
      </c>
      <c r="H69" s="100">
        <v>1.31</v>
      </c>
      <c r="I69" s="100">
        <v>1.1599999999999999</v>
      </c>
      <c r="J69" s="100">
        <v>1.26</v>
      </c>
      <c r="K69" s="100">
        <v>1.26</v>
      </c>
      <c r="L69" s="100">
        <v>1.18</v>
      </c>
      <c r="M69" s="100">
        <v>1.25</v>
      </c>
      <c r="N69" s="100">
        <v>1.1599999999999999</v>
      </c>
      <c r="O69" s="100">
        <v>1.94</v>
      </c>
      <c r="P69" s="100">
        <v>1.46</v>
      </c>
      <c r="Q69" s="101">
        <v>1.83</v>
      </c>
      <c r="R69" s="101">
        <v>1.86</v>
      </c>
      <c r="S69" s="101">
        <v>1.82</v>
      </c>
      <c r="T69" s="101">
        <v>2.36</v>
      </c>
      <c r="U69" s="101">
        <v>2.34</v>
      </c>
      <c r="V69" s="101">
        <v>2.36</v>
      </c>
    </row>
    <row r="70" spans="1:22">
      <c r="A70" s="99">
        <v>93.149000000000001</v>
      </c>
      <c r="B70" s="100">
        <v>1.31</v>
      </c>
      <c r="C70" s="100">
        <v>1.32</v>
      </c>
      <c r="D70" s="100">
        <v>1.3</v>
      </c>
      <c r="E70" s="100">
        <v>1.37</v>
      </c>
      <c r="F70" s="100">
        <v>1</v>
      </c>
      <c r="G70" s="100">
        <v>1.19</v>
      </c>
      <c r="H70" s="100">
        <v>1.32</v>
      </c>
      <c r="I70" s="100">
        <v>1.2</v>
      </c>
      <c r="J70" s="100">
        <v>1.22</v>
      </c>
      <c r="K70" s="100">
        <v>1.28</v>
      </c>
      <c r="L70" s="100">
        <v>1.1499999999999999</v>
      </c>
      <c r="M70" s="100">
        <v>1.17</v>
      </c>
      <c r="N70" s="100">
        <v>1.1399999999999999</v>
      </c>
      <c r="O70" s="100">
        <v>1.95</v>
      </c>
      <c r="P70" s="100">
        <v>1.43</v>
      </c>
      <c r="Q70" s="101">
        <v>1.8</v>
      </c>
      <c r="R70" s="101">
        <v>1.84</v>
      </c>
      <c r="S70" s="101">
        <v>1.87</v>
      </c>
      <c r="T70" s="101">
        <v>2.33</v>
      </c>
      <c r="U70" s="101">
        <v>2.3199999999999998</v>
      </c>
      <c r="V70" s="101">
        <v>2.2999999999999998</v>
      </c>
    </row>
    <row r="71" spans="1:22">
      <c r="A71" s="99">
        <v>93.081000000000003</v>
      </c>
      <c r="B71" s="100">
        <v>1.25</v>
      </c>
      <c r="C71" s="100">
        <v>1.35</v>
      </c>
      <c r="D71" s="100">
        <v>1.28</v>
      </c>
      <c r="E71" s="100">
        <v>1.36</v>
      </c>
      <c r="F71" s="100">
        <v>0.97</v>
      </c>
      <c r="G71" s="100">
        <v>1.19</v>
      </c>
      <c r="H71" s="100">
        <v>1.34</v>
      </c>
      <c r="I71" s="100">
        <v>1.1599999999999999</v>
      </c>
      <c r="J71" s="100">
        <v>1.25</v>
      </c>
      <c r="K71" s="100">
        <v>1.29</v>
      </c>
      <c r="L71" s="100">
        <v>1.1499999999999999</v>
      </c>
      <c r="M71" s="100">
        <v>1.22</v>
      </c>
      <c r="N71" s="100">
        <v>1.19</v>
      </c>
      <c r="O71" s="100">
        <v>1.95</v>
      </c>
      <c r="P71" s="100">
        <v>1.43</v>
      </c>
      <c r="Q71" s="101">
        <v>1.81</v>
      </c>
      <c r="R71" s="101">
        <v>1.83</v>
      </c>
      <c r="S71" s="101">
        <v>1.86</v>
      </c>
      <c r="T71" s="101">
        <v>2.34</v>
      </c>
      <c r="U71" s="101">
        <v>2.33</v>
      </c>
      <c r="V71" s="101">
        <v>2.2999999999999998</v>
      </c>
    </row>
    <row r="72" spans="1:22">
      <c r="A72" s="99">
        <v>93.058999999999997</v>
      </c>
      <c r="B72" s="100">
        <v>1.3</v>
      </c>
      <c r="C72" s="100">
        <v>1.37</v>
      </c>
      <c r="D72" s="100">
        <v>1.33</v>
      </c>
      <c r="E72" s="100">
        <v>1.34</v>
      </c>
      <c r="F72" s="100">
        <v>0.97</v>
      </c>
      <c r="G72" s="100">
        <v>1.24</v>
      </c>
      <c r="H72" s="100">
        <v>1.34</v>
      </c>
      <c r="I72" s="100">
        <v>1.17</v>
      </c>
      <c r="J72" s="100">
        <v>1.18</v>
      </c>
      <c r="K72" s="100">
        <v>1.24</v>
      </c>
      <c r="L72" s="100">
        <v>1.18</v>
      </c>
      <c r="M72" s="100">
        <v>1.18</v>
      </c>
      <c r="N72" s="100">
        <v>1.2</v>
      </c>
      <c r="O72" s="100">
        <v>1.96</v>
      </c>
      <c r="P72" s="100">
        <v>1.45</v>
      </c>
      <c r="Q72" s="101">
        <v>1.8</v>
      </c>
      <c r="R72" s="101">
        <v>1.82</v>
      </c>
      <c r="S72" s="101">
        <v>1.83</v>
      </c>
      <c r="T72" s="101">
        <v>2.31</v>
      </c>
      <c r="U72" s="101">
        <v>2.2799999999999998</v>
      </c>
      <c r="V72" s="101">
        <v>2.29</v>
      </c>
    </row>
    <row r="73" spans="1:22">
      <c r="A73" s="99">
        <v>93.123000000000005</v>
      </c>
      <c r="B73" s="100">
        <v>1.26</v>
      </c>
      <c r="C73" s="100">
        <v>1.35</v>
      </c>
      <c r="D73" s="100">
        <v>1.26</v>
      </c>
      <c r="E73" s="100">
        <v>1.38</v>
      </c>
      <c r="F73" s="100">
        <v>1.01</v>
      </c>
      <c r="G73" s="100">
        <v>1.18</v>
      </c>
      <c r="H73" s="100">
        <v>1.3</v>
      </c>
      <c r="I73" s="100">
        <v>1.2</v>
      </c>
      <c r="J73" s="100">
        <v>1.23</v>
      </c>
      <c r="K73" s="100">
        <v>1.28</v>
      </c>
      <c r="L73" s="100">
        <v>1.17</v>
      </c>
      <c r="M73" s="100">
        <v>1.2</v>
      </c>
      <c r="N73" s="100">
        <v>1.2</v>
      </c>
      <c r="O73" s="100">
        <v>1.94</v>
      </c>
      <c r="P73" s="100">
        <v>1.45</v>
      </c>
      <c r="Q73" s="101">
        <v>1.81</v>
      </c>
      <c r="R73" s="101">
        <v>1.83</v>
      </c>
      <c r="S73" s="101">
        <v>1.84</v>
      </c>
      <c r="T73" s="101">
        <v>2.3199999999999998</v>
      </c>
      <c r="U73" s="101">
        <v>2.3199999999999998</v>
      </c>
      <c r="V73" s="101">
        <v>2.2999999999999998</v>
      </c>
    </row>
    <row r="74" spans="1:22">
      <c r="A74" s="99">
        <v>93.084000000000003</v>
      </c>
      <c r="B74" s="100">
        <v>1.29</v>
      </c>
      <c r="C74" s="100">
        <v>1.33</v>
      </c>
      <c r="D74" s="100">
        <v>1.29</v>
      </c>
      <c r="E74" s="100">
        <v>1.33</v>
      </c>
      <c r="F74" s="100">
        <v>0.99</v>
      </c>
      <c r="G74" s="100">
        <v>1.24</v>
      </c>
      <c r="H74" s="100">
        <v>1.29</v>
      </c>
      <c r="I74" s="100">
        <v>1.19</v>
      </c>
      <c r="J74" s="100">
        <v>1.18</v>
      </c>
      <c r="K74" s="100">
        <v>1.26</v>
      </c>
      <c r="L74" s="100">
        <v>1.1100000000000001</v>
      </c>
      <c r="M74" s="100">
        <v>1.21</v>
      </c>
      <c r="N74" s="100">
        <v>1.1399999999999999</v>
      </c>
      <c r="O74" s="100">
        <v>1.96</v>
      </c>
      <c r="P74" s="100">
        <v>1.44</v>
      </c>
      <c r="Q74" s="101">
        <v>1.82</v>
      </c>
      <c r="R74" s="101">
        <v>1.8</v>
      </c>
      <c r="S74" s="101">
        <v>1.85</v>
      </c>
      <c r="T74" s="101">
        <v>2.37</v>
      </c>
      <c r="U74" s="101">
        <v>2.36</v>
      </c>
      <c r="V74" s="101">
        <v>2.35</v>
      </c>
    </row>
    <row r="75" spans="1:22">
      <c r="A75" s="99">
        <v>93.147999999999996</v>
      </c>
      <c r="B75" s="100">
        <v>1.32</v>
      </c>
      <c r="C75" s="100">
        <v>1.32</v>
      </c>
      <c r="D75" s="100">
        <v>1.31</v>
      </c>
      <c r="E75" s="100">
        <v>1.33</v>
      </c>
      <c r="F75" s="100">
        <v>1.02</v>
      </c>
      <c r="G75" s="100">
        <v>1.19</v>
      </c>
      <c r="H75" s="100">
        <v>1.34</v>
      </c>
      <c r="I75" s="100">
        <v>1.18</v>
      </c>
      <c r="J75" s="100">
        <v>1.24</v>
      </c>
      <c r="K75" s="100">
        <v>1.29</v>
      </c>
      <c r="L75" s="100">
        <v>1.1499999999999999</v>
      </c>
      <c r="M75" s="100">
        <v>1.25</v>
      </c>
      <c r="N75" s="100">
        <v>1.18</v>
      </c>
      <c r="O75" s="100">
        <v>1.96</v>
      </c>
      <c r="P75" s="100">
        <v>1.46</v>
      </c>
      <c r="Q75" s="101">
        <v>1.8</v>
      </c>
      <c r="R75" s="101">
        <v>1.87</v>
      </c>
      <c r="S75" s="101">
        <v>1.82</v>
      </c>
      <c r="T75" s="101">
        <v>2.36</v>
      </c>
      <c r="U75" s="101">
        <v>2.34</v>
      </c>
      <c r="V75" s="101">
        <v>2.35</v>
      </c>
    </row>
    <row r="76" spans="1:22">
      <c r="A76" s="99">
        <v>93.149000000000001</v>
      </c>
      <c r="B76" s="100">
        <v>1.27</v>
      </c>
      <c r="C76" s="100">
        <v>1.32</v>
      </c>
      <c r="D76" s="100">
        <v>1.3</v>
      </c>
      <c r="E76" s="100">
        <v>1.36</v>
      </c>
      <c r="F76" s="100">
        <v>0.99</v>
      </c>
      <c r="G76" s="100">
        <v>1.22</v>
      </c>
      <c r="H76" s="100">
        <v>1.31</v>
      </c>
      <c r="I76" s="100">
        <v>1.2</v>
      </c>
      <c r="J76" s="100">
        <v>1.2</v>
      </c>
      <c r="K76" s="100">
        <v>1.26</v>
      </c>
      <c r="L76" s="100">
        <v>1.1100000000000001</v>
      </c>
      <c r="M76" s="100">
        <v>1.22</v>
      </c>
      <c r="N76" s="100">
        <v>1.1499999999999999</v>
      </c>
      <c r="O76" s="100">
        <v>1.96</v>
      </c>
      <c r="P76" s="100">
        <v>1.43</v>
      </c>
      <c r="Q76" s="101">
        <v>1.87</v>
      </c>
      <c r="R76" s="101">
        <v>1.9</v>
      </c>
      <c r="S76" s="101">
        <v>1.86</v>
      </c>
      <c r="T76" s="101">
        <v>2.33</v>
      </c>
      <c r="U76" s="101">
        <v>2.34</v>
      </c>
      <c r="V76" s="101">
        <v>2.31</v>
      </c>
    </row>
    <row r="77" spans="1:22">
      <c r="A77" s="99">
        <v>93.061000000000007</v>
      </c>
      <c r="B77" s="100">
        <v>1.31</v>
      </c>
      <c r="C77" s="100">
        <v>1.39</v>
      </c>
      <c r="D77" s="100">
        <v>1.34</v>
      </c>
      <c r="E77" s="100">
        <v>1.32</v>
      </c>
      <c r="F77" s="100">
        <v>1.04</v>
      </c>
      <c r="G77" s="100">
        <v>1.21</v>
      </c>
      <c r="H77" s="100">
        <v>1.34</v>
      </c>
      <c r="I77" s="100">
        <v>1.1599999999999999</v>
      </c>
      <c r="J77" s="100">
        <v>1.22</v>
      </c>
      <c r="K77" s="100">
        <v>1.28</v>
      </c>
      <c r="L77" s="100">
        <v>1.1100000000000001</v>
      </c>
      <c r="M77" s="100">
        <v>1.25</v>
      </c>
      <c r="N77" s="100">
        <v>1.19</v>
      </c>
      <c r="O77" s="100">
        <v>1.96</v>
      </c>
      <c r="P77" s="100">
        <v>1.43</v>
      </c>
      <c r="Q77" s="101">
        <v>1.89</v>
      </c>
      <c r="R77" s="101">
        <v>1.93</v>
      </c>
      <c r="S77" s="101">
        <v>1.89</v>
      </c>
      <c r="T77" s="101">
        <v>2.34</v>
      </c>
      <c r="U77" s="101">
        <v>2.36</v>
      </c>
      <c r="V77" s="101">
        <v>2.34</v>
      </c>
    </row>
    <row r="78" spans="1:22">
      <c r="A78" s="99">
        <v>93.108999999999995</v>
      </c>
      <c r="B78" s="100">
        <v>1.23</v>
      </c>
      <c r="C78" s="100">
        <v>1.35</v>
      </c>
      <c r="D78" s="100">
        <v>1.31</v>
      </c>
      <c r="E78" s="100">
        <v>1.38</v>
      </c>
      <c r="F78" s="100">
        <v>0.98</v>
      </c>
      <c r="G78" s="100">
        <v>1.1599999999999999</v>
      </c>
      <c r="H78" s="100">
        <v>1.38</v>
      </c>
      <c r="I78" s="100">
        <v>1.1599999999999999</v>
      </c>
      <c r="J78" s="100">
        <v>1.23</v>
      </c>
      <c r="K78" s="100">
        <v>1.32</v>
      </c>
      <c r="L78" s="100">
        <v>1.1100000000000001</v>
      </c>
      <c r="M78" s="100">
        <v>1.19</v>
      </c>
      <c r="N78" s="100">
        <v>1.18</v>
      </c>
      <c r="O78" s="100">
        <v>1.96</v>
      </c>
      <c r="P78" s="100">
        <v>1.44</v>
      </c>
      <c r="Q78" s="101">
        <v>1.88</v>
      </c>
      <c r="R78" s="101">
        <v>1.92</v>
      </c>
      <c r="S78" s="101">
        <v>1.86</v>
      </c>
      <c r="T78" s="101">
        <v>2.3199999999999998</v>
      </c>
      <c r="U78" s="101">
        <v>2.29</v>
      </c>
      <c r="V78" s="101">
        <v>2.33</v>
      </c>
    </row>
    <row r="79" spans="1:22">
      <c r="A79" s="99">
        <v>93.066000000000003</v>
      </c>
      <c r="B79" s="100">
        <v>1.33</v>
      </c>
      <c r="C79" s="100">
        <v>1.36</v>
      </c>
      <c r="D79" s="100">
        <v>1.27</v>
      </c>
      <c r="E79" s="100">
        <v>1.33</v>
      </c>
      <c r="F79" s="100">
        <v>1.01</v>
      </c>
      <c r="G79" s="100">
        <v>1.21</v>
      </c>
      <c r="H79" s="100">
        <v>1.32</v>
      </c>
      <c r="I79" s="100">
        <v>1.21</v>
      </c>
      <c r="J79" s="100">
        <v>1.19</v>
      </c>
      <c r="K79" s="100">
        <v>1.24</v>
      </c>
      <c r="L79" s="100">
        <v>1.1299999999999999</v>
      </c>
      <c r="M79" s="100">
        <v>1.24</v>
      </c>
      <c r="N79" s="100">
        <v>1.1399999999999999</v>
      </c>
      <c r="O79" s="100">
        <v>1.94</v>
      </c>
      <c r="P79" s="100">
        <v>1.45</v>
      </c>
      <c r="Q79" s="101">
        <v>1.89</v>
      </c>
      <c r="R79" s="101">
        <v>1.86</v>
      </c>
      <c r="S79" s="101">
        <v>1.89</v>
      </c>
      <c r="T79" s="101">
        <v>2.36</v>
      </c>
      <c r="U79" s="101">
        <v>2.3199999999999998</v>
      </c>
      <c r="V79" s="101">
        <v>2.35</v>
      </c>
    </row>
    <row r="80" spans="1:22">
      <c r="A80" s="99">
        <v>93.137999999999991</v>
      </c>
      <c r="B80" s="100">
        <v>1.28</v>
      </c>
      <c r="C80" s="100">
        <v>1.34</v>
      </c>
      <c r="D80" s="100">
        <v>1.33</v>
      </c>
      <c r="E80" s="100">
        <v>1.31</v>
      </c>
      <c r="F80" s="100">
        <v>1</v>
      </c>
      <c r="G80" s="100">
        <v>1.17</v>
      </c>
      <c r="H80" s="100">
        <v>1.36</v>
      </c>
      <c r="I80" s="100">
        <v>1.2</v>
      </c>
      <c r="J80" s="100">
        <v>1.18</v>
      </c>
      <c r="K80" s="100">
        <v>1.3</v>
      </c>
      <c r="L80" s="100">
        <v>1.1000000000000001</v>
      </c>
      <c r="M80" s="100">
        <v>1.21</v>
      </c>
      <c r="N80" s="100">
        <v>1.2</v>
      </c>
      <c r="O80" s="100">
        <v>1.97</v>
      </c>
      <c r="P80" s="100">
        <v>1.46</v>
      </c>
      <c r="Q80" s="101">
        <v>1.9</v>
      </c>
      <c r="R80" s="101">
        <v>2.02</v>
      </c>
      <c r="S80" s="101">
        <v>1.99</v>
      </c>
      <c r="T80" s="101">
        <v>2.37</v>
      </c>
      <c r="U80" s="101">
        <v>2.39</v>
      </c>
      <c r="V80" s="101">
        <v>2.4</v>
      </c>
    </row>
    <row r="81" spans="1:22">
      <c r="A81" s="99">
        <v>93.073999999999998</v>
      </c>
      <c r="B81" s="100">
        <v>1.29</v>
      </c>
      <c r="C81" s="100">
        <v>1.34</v>
      </c>
      <c r="D81" s="100">
        <v>1.3</v>
      </c>
      <c r="E81" s="100">
        <v>1.34</v>
      </c>
      <c r="F81" s="100">
        <v>0.98</v>
      </c>
      <c r="G81" s="100">
        <v>1.19</v>
      </c>
      <c r="H81" s="100">
        <v>1.38</v>
      </c>
      <c r="I81" s="100">
        <v>1.17</v>
      </c>
      <c r="J81" s="100">
        <v>1.23</v>
      </c>
      <c r="K81" s="100">
        <v>1.27</v>
      </c>
      <c r="L81" s="100">
        <v>1.1000000000000001</v>
      </c>
      <c r="M81" s="100">
        <v>1.17</v>
      </c>
      <c r="N81" s="100">
        <v>1.22</v>
      </c>
      <c r="O81" s="100">
        <v>1.96</v>
      </c>
      <c r="P81" s="100">
        <v>1.43</v>
      </c>
      <c r="Q81" s="101">
        <v>1.9</v>
      </c>
      <c r="R81" s="101">
        <v>2</v>
      </c>
      <c r="S81" s="101">
        <v>1.98</v>
      </c>
      <c r="T81" s="101">
        <v>2.39</v>
      </c>
      <c r="U81" s="101">
        <v>2.38</v>
      </c>
      <c r="V81" s="101">
        <v>2.4</v>
      </c>
    </row>
    <row r="82" spans="1:22">
      <c r="A82" s="99">
        <v>93.051000000000002</v>
      </c>
      <c r="B82" s="100">
        <v>1.25</v>
      </c>
      <c r="C82" s="100">
        <v>1.31</v>
      </c>
      <c r="D82" s="100">
        <v>1.31</v>
      </c>
      <c r="E82" s="100">
        <v>1.33</v>
      </c>
      <c r="F82" s="100">
        <v>1</v>
      </c>
      <c r="G82" s="100">
        <v>1.19</v>
      </c>
      <c r="H82" s="100">
        <v>1.33</v>
      </c>
      <c r="I82" s="100">
        <v>1.2</v>
      </c>
      <c r="J82" s="100">
        <v>1.25</v>
      </c>
      <c r="K82" s="100">
        <v>1.31</v>
      </c>
      <c r="L82" s="100">
        <v>1.1499999999999999</v>
      </c>
      <c r="M82" s="100">
        <v>1.18</v>
      </c>
      <c r="N82" s="100">
        <v>1.17</v>
      </c>
      <c r="O82" s="100">
        <v>1.94</v>
      </c>
      <c r="P82" s="100">
        <v>1.44</v>
      </c>
      <c r="Q82" s="101">
        <v>1.96</v>
      </c>
      <c r="R82" s="101">
        <v>1.99</v>
      </c>
      <c r="S82" s="101">
        <v>1.89</v>
      </c>
      <c r="T82" s="101">
        <v>2.38</v>
      </c>
      <c r="U82" s="101">
        <v>2.36</v>
      </c>
      <c r="V82" s="101">
        <v>2.37</v>
      </c>
    </row>
    <row r="83" spans="1:22">
      <c r="A83" s="99">
        <v>93.149000000000001</v>
      </c>
      <c r="B83" s="100">
        <v>1.3</v>
      </c>
      <c r="C83" s="100">
        <v>1.39</v>
      </c>
      <c r="D83" s="100">
        <v>1.28</v>
      </c>
      <c r="E83" s="100">
        <v>1.31</v>
      </c>
      <c r="F83" s="100">
        <v>1</v>
      </c>
      <c r="G83" s="100">
        <v>1.21</v>
      </c>
      <c r="H83" s="100">
        <v>1.35</v>
      </c>
      <c r="I83" s="100">
        <v>1.21</v>
      </c>
      <c r="J83" s="100">
        <v>1.22</v>
      </c>
      <c r="K83" s="100">
        <v>1.26</v>
      </c>
      <c r="L83" s="100">
        <v>1.18</v>
      </c>
      <c r="M83" s="100">
        <v>1.23</v>
      </c>
      <c r="N83" s="100">
        <v>1.1399999999999999</v>
      </c>
      <c r="O83" s="100">
        <v>1.94</v>
      </c>
      <c r="P83" s="100">
        <v>1.45</v>
      </c>
      <c r="Q83" s="101">
        <v>1.98</v>
      </c>
      <c r="R83" s="101">
        <v>1.97</v>
      </c>
      <c r="S83" s="101">
        <v>1.96</v>
      </c>
      <c r="T83" s="101">
        <v>2.36</v>
      </c>
      <c r="U83" s="101">
        <v>2.36</v>
      </c>
      <c r="V83" s="101">
        <v>2.37</v>
      </c>
    </row>
    <row r="84" spans="1:22" ht="13.5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3"/>
      <c r="R84" s="103"/>
      <c r="S84" s="103"/>
      <c r="T84" s="103"/>
      <c r="U84" s="103"/>
      <c r="V84" s="103"/>
    </row>
    <row r="85" spans="1:22">
      <c r="A85" s="99">
        <v>93.016000000000005</v>
      </c>
      <c r="B85" s="100">
        <v>1.29</v>
      </c>
      <c r="C85" s="100">
        <v>1.34</v>
      </c>
      <c r="D85" s="100">
        <v>1.34</v>
      </c>
      <c r="E85" s="100">
        <v>1.34</v>
      </c>
      <c r="F85" s="100">
        <v>0.98</v>
      </c>
      <c r="G85" s="100">
        <v>1.19</v>
      </c>
      <c r="H85" s="100">
        <v>1.37</v>
      </c>
      <c r="I85" s="100">
        <v>1.19</v>
      </c>
      <c r="J85" s="100">
        <v>1.26</v>
      </c>
      <c r="K85" s="100">
        <v>1.27</v>
      </c>
      <c r="L85" s="100">
        <v>1.17</v>
      </c>
      <c r="M85" s="100">
        <v>1.17</v>
      </c>
      <c r="N85" s="100">
        <v>1.2</v>
      </c>
      <c r="O85" s="100">
        <v>1.94</v>
      </c>
      <c r="P85" s="100">
        <v>1.42</v>
      </c>
      <c r="Q85" s="101">
        <v>1.85</v>
      </c>
      <c r="R85" s="101">
        <v>1.95</v>
      </c>
      <c r="S85" s="101">
        <v>1.82</v>
      </c>
      <c r="T85" s="101">
        <v>2.38</v>
      </c>
      <c r="U85" s="101">
        <v>2.36</v>
      </c>
      <c r="V85" s="101">
        <v>2.36</v>
      </c>
    </row>
    <row r="86" spans="1:22">
      <c r="A86" s="99">
        <v>93.206000000000003</v>
      </c>
      <c r="B86" s="100">
        <v>1.25</v>
      </c>
      <c r="C86" s="100">
        <v>1.35</v>
      </c>
      <c r="D86" s="100">
        <v>1.31</v>
      </c>
      <c r="E86" s="100">
        <v>1.32</v>
      </c>
      <c r="F86" s="100">
        <v>0.98</v>
      </c>
      <c r="G86" s="100">
        <v>1.18</v>
      </c>
      <c r="H86" s="100">
        <v>1.29</v>
      </c>
      <c r="I86" s="100">
        <v>1.2</v>
      </c>
      <c r="J86" s="100">
        <v>1.2</v>
      </c>
      <c r="K86" s="100">
        <v>1.28</v>
      </c>
      <c r="L86" s="100">
        <v>1.1399999999999999</v>
      </c>
      <c r="M86" s="100">
        <v>1.2</v>
      </c>
      <c r="N86" s="100">
        <v>1.17</v>
      </c>
      <c r="O86" s="100">
        <v>1.95</v>
      </c>
      <c r="P86" s="100">
        <v>1.43</v>
      </c>
      <c r="Q86" s="101">
        <v>186</v>
      </c>
      <c r="R86" s="101">
        <v>1.96</v>
      </c>
      <c r="S86" s="101">
        <v>1.83</v>
      </c>
      <c r="T86" s="101">
        <v>2.38</v>
      </c>
      <c r="U86" s="101">
        <v>2.36</v>
      </c>
      <c r="V86" s="101">
        <v>2.36</v>
      </c>
    </row>
    <row r="87" spans="1:22">
      <c r="A87" s="99">
        <v>93.027999999999992</v>
      </c>
      <c r="B87" s="100">
        <v>1.32</v>
      </c>
      <c r="C87" s="100">
        <v>1.35</v>
      </c>
      <c r="D87" s="100">
        <v>1.27</v>
      </c>
      <c r="E87" s="100">
        <v>1.37</v>
      </c>
      <c r="F87" s="100">
        <v>1.01</v>
      </c>
      <c r="G87" s="100">
        <v>1.19</v>
      </c>
      <c r="H87" s="100">
        <v>1.37</v>
      </c>
      <c r="I87" s="100">
        <v>1.21</v>
      </c>
      <c r="J87" s="100">
        <v>1.24</v>
      </c>
      <c r="K87" s="100">
        <v>1.24</v>
      </c>
      <c r="L87" s="100">
        <v>1.1299999999999999</v>
      </c>
      <c r="M87" s="100">
        <v>1.19</v>
      </c>
      <c r="N87" s="100">
        <v>1.18</v>
      </c>
      <c r="O87" s="100">
        <v>1.96</v>
      </c>
      <c r="P87" s="100">
        <v>1.45</v>
      </c>
      <c r="Q87" s="101">
        <v>1.97</v>
      </c>
      <c r="R87" s="101">
        <v>2.06</v>
      </c>
      <c r="S87" s="101">
        <v>1.99</v>
      </c>
      <c r="T87" s="101">
        <v>2.38</v>
      </c>
      <c r="U87" s="101">
        <v>2.39</v>
      </c>
      <c r="V87" s="101">
        <v>2.39</v>
      </c>
    </row>
    <row r="88" spans="1:22">
      <c r="A88" s="99">
        <v>93.134</v>
      </c>
      <c r="B88" s="100">
        <v>1.26</v>
      </c>
      <c r="C88" s="100">
        <v>1.4</v>
      </c>
      <c r="D88" s="100">
        <v>1.28</v>
      </c>
      <c r="E88" s="100">
        <v>1.34</v>
      </c>
      <c r="F88" s="100">
        <v>0.98</v>
      </c>
      <c r="G88" s="100">
        <v>1.24</v>
      </c>
      <c r="H88" s="100">
        <v>1.29</v>
      </c>
      <c r="I88" s="100">
        <v>1.17</v>
      </c>
      <c r="J88" s="100">
        <v>1.26</v>
      </c>
      <c r="K88" s="100">
        <v>1.31</v>
      </c>
      <c r="L88" s="100">
        <v>1.1599999999999999</v>
      </c>
      <c r="M88" s="100">
        <v>1.2</v>
      </c>
      <c r="N88" s="100">
        <v>1.1499999999999999</v>
      </c>
      <c r="O88" s="100">
        <v>1.95</v>
      </c>
      <c r="P88" s="100">
        <v>1.45</v>
      </c>
      <c r="Q88" s="101">
        <v>1.99</v>
      </c>
      <c r="R88" s="101">
        <v>2</v>
      </c>
      <c r="S88" s="101">
        <v>2.0499999999999998</v>
      </c>
      <c r="T88" s="101">
        <v>2.39</v>
      </c>
      <c r="U88" s="101">
        <v>2.4</v>
      </c>
      <c r="V88" s="101">
        <v>2.39</v>
      </c>
    </row>
    <row r="89" spans="1:22">
      <c r="A89" s="99">
        <v>93.039000000000001</v>
      </c>
      <c r="B89" s="100">
        <v>1.31</v>
      </c>
      <c r="C89" s="100">
        <v>1.33</v>
      </c>
      <c r="D89" s="100">
        <v>1.32</v>
      </c>
      <c r="E89" s="100">
        <v>1.31</v>
      </c>
      <c r="F89" s="100">
        <v>1</v>
      </c>
      <c r="G89" s="100">
        <v>1.18</v>
      </c>
      <c r="H89" s="100">
        <v>1.38</v>
      </c>
      <c r="I89" s="100">
        <v>1.22</v>
      </c>
      <c r="J89" s="100">
        <v>1.22</v>
      </c>
      <c r="K89" s="100">
        <v>1.25</v>
      </c>
      <c r="L89" s="100">
        <v>1.18</v>
      </c>
      <c r="M89" s="100">
        <v>1.17</v>
      </c>
      <c r="N89" s="100">
        <v>1.18</v>
      </c>
      <c r="O89" s="100">
        <v>1.96</v>
      </c>
      <c r="P89" s="100">
        <v>1.43</v>
      </c>
      <c r="Q89" s="101">
        <v>1.99</v>
      </c>
      <c r="R89" s="101">
        <v>2.1</v>
      </c>
      <c r="S89" s="101">
        <v>2</v>
      </c>
      <c r="T89" s="101">
        <v>2.35</v>
      </c>
      <c r="U89" s="101">
        <v>2.36</v>
      </c>
      <c r="V89" s="101">
        <v>2.39</v>
      </c>
    </row>
    <row r="90" spans="1:22">
      <c r="A90" s="99">
        <v>93.100999999999999</v>
      </c>
      <c r="B90" s="100">
        <v>1.27</v>
      </c>
      <c r="C90" s="100">
        <v>1.39</v>
      </c>
      <c r="D90" s="100">
        <v>1.29</v>
      </c>
      <c r="E90" s="100">
        <v>1.34</v>
      </c>
      <c r="F90" s="100">
        <v>1.04</v>
      </c>
      <c r="G90" s="100">
        <v>1.22</v>
      </c>
      <c r="H90" s="100">
        <v>1.36</v>
      </c>
      <c r="I90" s="100">
        <v>1.1599999999999999</v>
      </c>
      <c r="J90" s="100">
        <v>1.2</v>
      </c>
      <c r="K90" s="100">
        <v>1.28</v>
      </c>
      <c r="L90" s="100">
        <v>1.1499999999999999</v>
      </c>
      <c r="M90" s="100">
        <v>1.23</v>
      </c>
      <c r="N90" s="100">
        <v>1.18</v>
      </c>
      <c r="O90" s="100">
        <v>1.95</v>
      </c>
      <c r="P90" s="100">
        <v>1.45</v>
      </c>
      <c r="Q90" s="101">
        <v>1.96</v>
      </c>
      <c r="R90" s="101">
        <v>1.99</v>
      </c>
      <c r="S90" s="101">
        <v>2.0299999999999998</v>
      </c>
      <c r="T90" s="101">
        <v>2.37</v>
      </c>
      <c r="U90" s="101">
        <v>2.38</v>
      </c>
      <c r="V90" s="101">
        <v>2.38</v>
      </c>
    </row>
    <row r="91" spans="1:22">
      <c r="A91" s="99">
        <v>93.028999999999996</v>
      </c>
      <c r="B91" s="100">
        <v>1.26</v>
      </c>
      <c r="C91" s="100">
        <v>1.35</v>
      </c>
      <c r="D91" s="100">
        <v>1.31</v>
      </c>
      <c r="E91" s="100">
        <v>1.33</v>
      </c>
      <c r="F91" s="100">
        <v>0.99</v>
      </c>
      <c r="G91" s="100">
        <v>1.17</v>
      </c>
      <c r="H91" s="100">
        <v>1.29</v>
      </c>
      <c r="I91" s="100">
        <v>1.22</v>
      </c>
      <c r="J91" s="100">
        <v>1.22</v>
      </c>
      <c r="K91" s="100">
        <v>1.27</v>
      </c>
      <c r="L91" s="100">
        <v>1.1499999999999999</v>
      </c>
      <c r="M91" s="100">
        <v>1.18</v>
      </c>
      <c r="N91" s="100">
        <v>1.18</v>
      </c>
      <c r="O91" s="100">
        <v>1.96</v>
      </c>
      <c r="P91" s="100">
        <v>1.46</v>
      </c>
      <c r="Q91" s="101">
        <v>1.89</v>
      </c>
      <c r="R91" s="101">
        <v>1.9</v>
      </c>
      <c r="S91" s="101">
        <v>1.87</v>
      </c>
      <c r="T91" s="101">
        <v>2.38</v>
      </c>
      <c r="U91" s="101">
        <v>2.36</v>
      </c>
      <c r="V91" s="101">
        <v>2.37</v>
      </c>
    </row>
    <row r="92" spans="1:22">
      <c r="A92" s="99">
        <v>93.105999999999995</v>
      </c>
      <c r="B92" s="100">
        <v>1.32</v>
      </c>
      <c r="C92" s="100">
        <v>1.34</v>
      </c>
      <c r="D92" s="100">
        <v>1.28</v>
      </c>
      <c r="E92" s="100">
        <v>1.35</v>
      </c>
      <c r="F92" s="100">
        <v>1.02</v>
      </c>
      <c r="G92" s="100">
        <v>1.19</v>
      </c>
      <c r="H92" s="100">
        <v>1.39</v>
      </c>
      <c r="I92" s="100">
        <v>1.21</v>
      </c>
      <c r="J92" s="100">
        <v>1.26</v>
      </c>
      <c r="K92" s="100">
        <v>1.27</v>
      </c>
      <c r="L92" s="100">
        <v>1.1200000000000001</v>
      </c>
      <c r="M92" s="100">
        <v>1.21</v>
      </c>
      <c r="N92" s="100">
        <v>1.22</v>
      </c>
      <c r="O92" s="100">
        <v>1.97</v>
      </c>
      <c r="P92" s="100">
        <v>1.42</v>
      </c>
      <c r="Q92" s="101">
        <v>1.9</v>
      </c>
      <c r="R92" s="101">
        <v>1.95</v>
      </c>
      <c r="S92" s="101">
        <v>1.88</v>
      </c>
      <c r="T92" s="101">
        <v>2.38</v>
      </c>
      <c r="U92" s="101">
        <v>2.36</v>
      </c>
      <c r="V92" s="101">
        <v>2.37</v>
      </c>
    </row>
    <row r="93" spans="1:22">
      <c r="A93" s="99">
        <v>93.067999999999998</v>
      </c>
      <c r="B93" s="100">
        <v>1.26</v>
      </c>
      <c r="C93" s="100">
        <v>1.37</v>
      </c>
      <c r="D93" s="100">
        <v>1.26</v>
      </c>
      <c r="E93" s="100">
        <v>1.38</v>
      </c>
      <c r="F93" s="100">
        <v>1.01</v>
      </c>
      <c r="G93" s="100">
        <v>1.24</v>
      </c>
      <c r="H93" s="100">
        <v>1.34</v>
      </c>
      <c r="I93" s="100">
        <v>1.19</v>
      </c>
      <c r="J93" s="100">
        <v>1.19</v>
      </c>
      <c r="K93" s="100">
        <v>1.3</v>
      </c>
      <c r="L93" s="100">
        <v>1.1100000000000001</v>
      </c>
      <c r="M93" s="100">
        <v>1.23</v>
      </c>
      <c r="N93" s="100">
        <v>1.19</v>
      </c>
      <c r="O93" s="100">
        <v>1.96</v>
      </c>
      <c r="P93" s="100">
        <v>1.42</v>
      </c>
      <c r="Q93" s="101">
        <v>1.87</v>
      </c>
      <c r="R93" s="101">
        <v>1.9</v>
      </c>
      <c r="S93" s="101">
        <v>1.82</v>
      </c>
      <c r="T93" s="101">
        <v>2.34</v>
      </c>
      <c r="U93" s="101">
        <v>2.33</v>
      </c>
      <c r="V93" s="101">
        <v>2.37</v>
      </c>
    </row>
    <row r="94" spans="1:22">
      <c r="A94" s="99">
        <v>93.191000000000003</v>
      </c>
      <c r="B94" s="100">
        <v>1.27</v>
      </c>
      <c r="C94" s="100">
        <v>1.37</v>
      </c>
      <c r="D94" s="100">
        <v>1.3</v>
      </c>
      <c r="E94" s="100">
        <v>1.29</v>
      </c>
      <c r="F94" s="100">
        <v>1</v>
      </c>
      <c r="G94" s="100">
        <v>1.2</v>
      </c>
      <c r="H94" s="100">
        <v>1.33</v>
      </c>
      <c r="I94" s="100">
        <v>1.22</v>
      </c>
      <c r="J94" s="100">
        <v>1.24</v>
      </c>
      <c r="K94" s="100">
        <v>1.25</v>
      </c>
      <c r="L94" s="100">
        <v>1.1200000000000001</v>
      </c>
      <c r="M94" s="100">
        <v>1.21</v>
      </c>
      <c r="N94" s="100">
        <v>1.18</v>
      </c>
      <c r="O94" s="100">
        <v>1.95</v>
      </c>
      <c r="P94" s="100">
        <v>1.43</v>
      </c>
      <c r="Q94" s="101">
        <v>1.88</v>
      </c>
      <c r="R94" s="101">
        <v>1.92</v>
      </c>
      <c r="S94" s="101">
        <v>1.84</v>
      </c>
      <c r="T94" s="101">
        <v>2.34</v>
      </c>
      <c r="U94" s="101">
        <v>2.34</v>
      </c>
      <c r="V94" s="101">
        <v>2.37</v>
      </c>
    </row>
    <row r="95" spans="1:22">
      <c r="A95" s="99">
        <v>93.049000000000007</v>
      </c>
      <c r="B95" s="100">
        <v>1.3</v>
      </c>
      <c r="C95" s="100">
        <v>1.33</v>
      </c>
      <c r="D95" s="100">
        <v>1.31</v>
      </c>
      <c r="E95" s="100">
        <v>1.29</v>
      </c>
      <c r="F95" s="100">
        <v>1.02</v>
      </c>
      <c r="G95" s="100">
        <v>1.25</v>
      </c>
      <c r="H95" s="100">
        <v>1.36</v>
      </c>
      <c r="I95" s="100">
        <v>1.17</v>
      </c>
      <c r="J95" s="100">
        <v>1.2</v>
      </c>
      <c r="K95" s="100">
        <v>1.25</v>
      </c>
      <c r="L95" s="100">
        <v>1.1200000000000001</v>
      </c>
      <c r="M95" s="100">
        <v>1.23</v>
      </c>
      <c r="N95" s="100">
        <v>1.1499999999999999</v>
      </c>
      <c r="O95" s="100">
        <v>1.96</v>
      </c>
      <c r="P95" s="100">
        <v>1.47</v>
      </c>
      <c r="Q95" s="101">
        <v>2.15</v>
      </c>
      <c r="R95" s="101">
        <v>2.1</v>
      </c>
      <c r="S95" s="101">
        <v>2.12</v>
      </c>
      <c r="T95" s="101">
        <v>229</v>
      </c>
      <c r="U95" s="101">
        <v>2.2799999999999998</v>
      </c>
      <c r="V95" s="101">
        <v>2.31</v>
      </c>
    </row>
    <row r="96" spans="1:22">
      <c r="A96" s="99">
        <v>93.016000000000005</v>
      </c>
      <c r="B96" s="100">
        <v>1.28</v>
      </c>
      <c r="C96" s="100">
        <v>1.36</v>
      </c>
      <c r="D96" s="100">
        <v>1.25</v>
      </c>
      <c r="E96" s="100">
        <v>1.37</v>
      </c>
      <c r="F96" s="100">
        <v>0.97</v>
      </c>
      <c r="G96" s="100">
        <v>1.21</v>
      </c>
      <c r="H96" s="100">
        <v>1.37</v>
      </c>
      <c r="I96" s="100">
        <v>1.19</v>
      </c>
      <c r="J96" s="100">
        <v>1.23</v>
      </c>
      <c r="K96" s="100">
        <v>1.27</v>
      </c>
      <c r="L96" s="100">
        <v>1.1399999999999999</v>
      </c>
      <c r="M96" s="100">
        <v>1.24</v>
      </c>
      <c r="N96" s="100">
        <v>1.1399999999999999</v>
      </c>
      <c r="O96" s="100">
        <v>1.95</v>
      </c>
      <c r="P96" s="100">
        <v>1.43</v>
      </c>
      <c r="Q96" s="101">
        <v>2.16</v>
      </c>
      <c r="R96" s="101">
        <v>2.15</v>
      </c>
      <c r="S96" s="101">
        <v>2.16</v>
      </c>
      <c r="T96" s="101">
        <v>2.31</v>
      </c>
      <c r="U96" s="101">
        <v>2.2999999999999998</v>
      </c>
      <c r="V96" s="101">
        <v>2.3199999999999998</v>
      </c>
    </row>
    <row r="97" spans="1:22">
      <c r="A97" s="99">
        <v>93.100999999999999</v>
      </c>
      <c r="B97" s="100">
        <v>1.29</v>
      </c>
      <c r="C97" s="100">
        <v>1.34</v>
      </c>
      <c r="D97" s="100">
        <v>1.27</v>
      </c>
      <c r="E97" s="100">
        <v>1.3</v>
      </c>
      <c r="F97" s="100">
        <v>0.96</v>
      </c>
      <c r="G97" s="100">
        <v>1.19</v>
      </c>
      <c r="H97" s="100">
        <v>1.29</v>
      </c>
      <c r="I97" s="100">
        <v>1.21</v>
      </c>
      <c r="J97" s="100">
        <v>1.21</v>
      </c>
      <c r="K97" s="100">
        <v>1.29</v>
      </c>
      <c r="L97" s="100">
        <v>1.18</v>
      </c>
      <c r="M97" s="100">
        <v>1.18</v>
      </c>
      <c r="N97" s="100">
        <v>1.1299999999999999</v>
      </c>
      <c r="O97" s="100">
        <v>1.95</v>
      </c>
      <c r="P97" s="100">
        <v>1.42</v>
      </c>
      <c r="Q97" s="101">
        <v>1.99</v>
      </c>
      <c r="R97" s="101">
        <v>2.06</v>
      </c>
      <c r="S97" s="101">
        <v>2.0499999999999998</v>
      </c>
      <c r="T97" s="101">
        <v>2.29</v>
      </c>
      <c r="U97" s="101">
        <v>2.3199999999999998</v>
      </c>
      <c r="V97" s="101">
        <v>2.3199999999999998</v>
      </c>
    </row>
    <row r="98" spans="1:22">
      <c r="A98" s="99">
        <v>93.001000000000005</v>
      </c>
      <c r="B98" s="100">
        <v>1.25</v>
      </c>
      <c r="C98" s="100">
        <v>1.35</v>
      </c>
      <c r="D98" s="100">
        <v>1.33</v>
      </c>
      <c r="E98" s="100">
        <v>1.38</v>
      </c>
      <c r="F98" s="100">
        <v>1.04</v>
      </c>
      <c r="G98" s="100">
        <v>1.21</v>
      </c>
      <c r="H98" s="100">
        <v>1.32</v>
      </c>
      <c r="I98" s="100">
        <v>1.22</v>
      </c>
      <c r="J98" s="100">
        <v>1.22</v>
      </c>
      <c r="K98" s="100">
        <v>1.24</v>
      </c>
      <c r="L98" s="100">
        <v>1.1599999999999999</v>
      </c>
      <c r="M98" s="100">
        <v>1.19</v>
      </c>
      <c r="N98" s="100">
        <v>1.2</v>
      </c>
      <c r="O98" s="100">
        <v>1.98</v>
      </c>
      <c r="P98" s="100">
        <v>1.44</v>
      </c>
      <c r="Q98" s="101">
        <v>2.06</v>
      </c>
      <c r="R98" s="101">
        <v>2.09</v>
      </c>
      <c r="S98" s="101">
        <v>2.0699999999999998</v>
      </c>
      <c r="T98" s="101">
        <v>2.31</v>
      </c>
      <c r="U98" s="101">
        <v>2.2999999999999998</v>
      </c>
      <c r="V98" s="101">
        <v>2.34</v>
      </c>
    </row>
    <row r="99" spans="1:22">
      <c r="A99" s="99">
        <v>93.119</v>
      </c>
      <c r="B99" s="100">
        <v>1.29</v>
      </c>
      <c r="C99" s="100">
        <v>1.36</v>
      </c>
      <c r="D99" s="100">
        <v>1.28</v>
      </c>
      <c r="E99" s="100">
        <v>1.31</v>
      </c>
      <c r="F99" s="100">
        <v>1</v>
      </c>
      <c r="G99" s="100">
        <v>1.21</v>
      </c>
      <c r="H99" s="100">
        <v>1.36</v>
      </c>
      <c r="I99" s="100">
        <v>1.1599999999999999</v>
      </c>
      <c r="J99" s="100">
        <v>1.23</v>
      </c>
      <c r="K99" s="100">
        <v>1.25</v>
      </c>
      <c r="L99" s="100">
        <v>1.1399999999999999</v>
      </c>
      <c r="M99" s="100">
        <v>1.22</v>
      </c>
      <c r="N99" s="100">
        <v>1.1299999999999999</v>
      </c>
      <c r="O99" s="100">
        <v>1.95</v>
      </c>
      <c r="P99" s="100">
        <v>1.47</v>
      </c>
      <c r="Q99" s="101">
        <v>1.98</v>
      </c>
      <c r="R99" s="101">
        <v>1.94</v>
      </c>
      <c r="S99" s="101">
        <v>1.99</v>
      </c>
      <c r="T99" s="101">
        <v>2.2999999999999998</v>
      </c>
      <c r="U99" s="101">
        <v>2.33</v>
      </c>
      <c r="V99" s="101">
        <v>2.34</v>
      </c>
    </row>
    <row r="100" spans="1:22">
      <c r="A100" s="99">
        <v>93.052999999999997</v>
      </c>
      <c r="B100" s="100">
        <v>1.25</v>
      </c>
      <c r="C100" s="100">
        <v>1.38</v>
      </c>
      <c r="D100" s="100">
        <v>1.32</v>
      </c>
      <c r="E100" s="100">
        <v>1.35</v>
      </c>
      <c r="F100" s="100">
        <v>1.03</v>
      </c>
      <c r="G100" s="100">
        <v>1.17</v>
      </c>
      <c r="H100" s="100">
        <v>1.39</v>
      </c>
      <c r="I100" s="100">
        <v>1.2</v>
      </c>
      <c r="J100" s="100">
        <v>1.24</v>
      </c>
      <c r="K100" s="100">
        <v>1.3</v>
      </c>
      <c r="L100" s="100">
        <v>1.1499999999999999</v>
      </c>
      <c r="M100" s="100">
        <v>1.25</v>
      </c>
      <c r="N100" s="100">
        <v>1.1299999999999999</v>
      </c>
      <c r="O100" s="100">
        <v>1.98</v>
      </c>
      <c r="P100" s="100">
        <v>1.42</v>
      </c>
      <c r="Q100" s="101">
        <v>1.99</v>
      </c>
      <c r="R100" s="101">
        <v>1.95</v>
      </c>
      <c r="S100" s="101">
        <v>1.98</v>
      </c>
      <c r="T100" s="101">
        <v>2.33</v>
      </c>
      <c r="U100" s="101">
        <v>2.3199999999999998</v>
      </c>
      <c r="V100" s="101">
        <v>2.3199999999999998</v>
      </c>
    </row>
    <row r="101" spans="1:22">
      <c r="A101" s="99">
        <v>93.124000000000009</v>
      </c>
      <c r="B101" s="100">
        <v>1.32</v>
      </c>
      <c r="C101" s="100">
        <v>1.36</v>
      </c>
      <c r="D101" s="100">
        <v>1.28</v>
      </c>
      <c r="E101" s="100">
        <v>1.37</v>
      </c>
      <c r="F101" s="100">
        <v>1</v>
      </c>
      <c r="G101" s="100">
        <v>1.22</v>
      </c>
      <c r="H101" s="100">
        <v>1.32</v>
      </c>
      <c r="I101" s="100">
        <v>1.22</v>
      </c>
      <c r="J101" s="100">
        <v>1.2</v>
      </c>
      <c r="K101" s="100">
        <v>1.25</v>
      </c>
      <c r="L101" s="100">
        <v>1.1299999999999999</v>
      </c>
      <c r="M101" s="100">
        <v>1.25</v>
      </c>
      <c r="N101" s="100">
        <v>1.1499999999999999</v>
      </c>
      <c r="O101" s="100">
        <v>1.95</v>
      </c>
      <c r="P101" s="100">
        <v>1.43</v>
      </c>
      <c r="Q101" s="101">
        <v>2.0099999999999998</v>
      </c>
      <c r="R101" s="101">
        <v>2.1</v>
      </c>
      <c r="S101" s="101">
        <v>1.99</v>
      </c>
      <c r="T101" s="101">
        <v>2.33</v>
      </c>
      <c r="U101" s="101">
        <v>2.2999999999999998</v>
      </c>
      <c r="V101" s="101">
        <v>2.35</v>
      </c>
    </row>
    <row r="102" spans="1:22">
      <c r="A102" s="99">
        <v>93.069000000000003</v>
      </c>
      <c r="B102" s="100">
        <v>1.27</v>
      </c>
      <c r="C102" s="100">
        <v>1.35</v>
      </c>
      <c r="D102" s="100">
        <v>1.29</v>
      </c>
      <c r="E102" s="100">
        <v>1.33</v>
      </c>
      <c r="F102" s="100">
        <v>0.99</v>
      </c>
      <c r="G102" s="100">
        <v>1.18</v>
      </c>
      <c r="H102" s="100">
        <v>1.38</v>
      </c>
      <c r="I102" s="100">
        <v>1.1599999999999999</v>
      </c>
      <c r="J102" s="100">
        <v>1.2</v>
      </c>
      <c r="K102" s="100">
        <v>1.25</v>
      </c>
      <c r="L102" s="100">
        <v>1.1399999999999999</v>
      </c>
      <c r="M102" s="100">
        <v>1.22</v>
      </c>
      <c r="N102" s="100">
        <v>1.18</v>
      </c>
      <c r="O102" s="100">
        <v>1.97</v>
      </c>
      <c r="P102" s="100">
        <v>1.44</v>
      </c>
      <c r="Q102" s="101">
        <v>2.0299999999999998</v>
      </c>
      <c r="R102" s="101">
        <v>2.08</v>
      </c>
      <c r="S102" s="101">
        <v>1.99</v>
      </c>
      <c r="T102" s="101">
        <v>2.36</v>
      </c>
      <c r="U102" s="101">
        <v>2.2999999999999998</v>
      </c>
      <c r="V102" s="101">
        <v>2.36</v>
      </c>
    </row>
    <row r="103" spans="1:22">
      <c r="A103" s="99">
        <v>93.105999999999995</v>
      </c>
      <c r="B103" s="100">
        <v>1.23</v>
      </c>
      <c r="C103" s="100">
        <v>1.36</v>
      </c>
      <c r="D103" s="100">
        <v>1.33</v>
      </c>
      <c r="E103" s="100">
        <v>1.38</v>
      </c>
      <c r="F103" s="100">
        <v>1</v>
      </c>
      <c r="G103" s="100">
        <v>1.22</v>
      </c>
      <c r="H103" s="100">
        <v>1.29</v>
      </c>
      <c r="I103" s="100">
        <v>1.22</v>
      </c>
      <c r="J103" s="100">
        <v>1.24</v>
      </c>
      <c r="K103" s="100">
        <v>1.3</v>
      </c>
      <c r="L103" s="100">
        <v>1.1599999999999999</v>
      </c>
      <c r="M103" s="100">
        <v>1.25</v>
      </c>
      <c r="N103" s="100">
        <v>1.1599999999999999</v>
      </c>
      <c r="O103" s="100">
        <v>1.95</v>
      </c>
      <c r="P103" s="100">
        <v>1.47</v>
      </c>
      <c r="Q103" s="101">
        <v>2.02</v>
      </c>
      <c r="R103" s="101">
        <v>2.06</v>
      </c>
      <c r="S103" s="101">
        <v>1.98</v>
      </c>
      <c r="T103" s="101">
        <v>2.35</v>
      </c>
      <c r="U103" s="101">
        <v>2.2999999999999998</v>
      </c>
      <c r="V103" s="101">
        <v>2.36</v>
      </c>
    </row>
    <row r="104" spans="1:22">
      <c r="A104" s="99">
        <v>93.087999999999994</v>
      </c>
      <c r="B104" s="100">
        <v>1.3</v>
      </c>
      <c r="C104" s="100">
        <v>1.36</v>
      </c>
      <c r="D104" s="100">
        <v>1.27</v>
      </c>
      <c r="E104" s="100">
        <v>1.32</v>
      </c>
      <c r="F104" s="100">
        <v>1</v>
      </c>
      <c r="G104" s="100">
        <v>1.21</v>
      </c>
      <c r="H104" s="100">
        <v>1.35</v>
      </c>
      <c r="I104" s="100">
        <v>1.19</v>
      </c>
      <c r="J104" s="100">
        <v>1.22</v>
      </c>
      <c r="K104" s="100">
        <v>1.24</v>
      </c>
      <c r="L104" s="100">
        <v>1.1000000000000001</v>
      </c>
      <c r="M104" s="100">
        <v>1.17</v>
      </c>
      <c r="N104" s="100">
        <v>1.18</v>
      </c>
      <c r="O104" s="100">
        <v>1.96</v>
      </c>
      <c r="P104" s="100">
        <v>1.43</v>
      </c>
      <c r="Q104" s="101">
        <v>2</v>
      </c>
      <c r="R104" s="101">
        <v>2</v>
      </c>
      <c r="S104" s="101">
        <v>1.99</v>
      </c>
      <c r="T104" s="101">
        <v>2.38</v>
      </c>
      <c r="U104" s="101">
        <v>2.2999999999999998</v>
      </c>
      <c r="V104" s="101">
        <v>2.36</v>
      </c>
    </row>
    <row r="105" spans="1:22">
      <c r="A105" s="99">
        <v>93.198999999999998</v>
      </c>
      <c r="B105" s="100">
        <v>1.28</v>
      </c>
      <c r="C105" s="100">
        <v>1.32</v>
      </c>
      <c r="D105" s="100">
        <v>1.26</v>
      </c>
      <c r="E105" s="100">
        <v>1.38</v>
      </c>
      <c r="F105" s="100">
        <v>0.98</v>
      </c>
      <c r="G105" s="100">
        <v>1.18</v>
      </c>
      <c r="H105" s="100">
        <v>1.3</v>
      </c>
      <c r="I105" s="100">
        <v>1.18</v>
      </c>
      <c r="J105" s="100">
        <v>1.25</v>
      </c>
      <c r="K105" s="100">
        <v>1.24</v>
      </c>
      <c r="L105" s="100">
        <v>1.18</v>
      </c>
      <c r="M105" s="100">
        <v>1.2</v>
      </c>
      <c r="N105" s="100">
        <v>1.22</v>
      </c>
      <c r="O105" s="100">
        <v>1.98</v>
      </c>
      <c r="P105" s="100">
        <v>1.45</v>
      </c>
      <c r="Q105" s="101">
        <v>1.97</v>
      </c>
      <c r="R105" s="101">
        <v>2</v>
      </c>
      <c r="S105" s="101">
        <v>2.06</v>
      </c>
      <c r="T105" s="101">
        <v>2.36</v>
      </c>
      <c r="U105" s="101">
        <v>2.36</v>
      </c>
      <c r="V105" s="101">
        <v>2.35</v>
      </c>
    </row>
    <row r="106" spans="1:22">
      <c r="A106" s="99">
        <v>93.003</v>
      </c>
      <c r="B106" s="100">
        <v>1.33</v>
      </c>
      <c r="C106" s="100">
        <v>1.34</v>
      </c>
      <c r="D106" s="100">
        <v>1.29</v>
      </c>
      <c r="E106" s="100">
        <v>1.33</v>
      </c>
      <c r="F106" s="100">
        <v>1</v>
      </c>
      <c r="G106" s="100">
        <v>1.22</v>
      </c>
      <c r="H106" s="100">
        <v>1.36</v>
      </c>
      <c r="I106" s="100">
        <v>1.21</v>
      </c>
      <c r="J106" s="100">
        <v>1.19</v>
      </c>
      <c r="K106" s="100">
        <v>1.25</v>
      </c>
      <c r="L106" s="100">
        <v>1.1200000000000001</v>
      </c>
      <c r="M106" s="100">
        <v>1.24</v>
      </c>
      <c r="N106" s="100">
        <v>1.21</v>
      </c>
      <c r="O106" s="100">
        <v>1.95</v>
      </c>
      <c r="P106" s="100">
        <v>1.42</v>
      </c>
      <c r="Q106" s="101">
        <v>1.96</v>
      </c>
      <c r="R106" s="101">
        <v>1.99</v>
      </c>
      <c r="S106" s="101">
        <v>1.98</v>
      </c>
      <c r="T106" s="101">
        <v>2.38</v>
      </c>
      <c r="U106" s="101">
        <v>2.34</v>
      </c>
      <c r="V106" s="101">
        <v>2.36</v>
      </c>
    </row>
    <row r="107" spans="1:22">
      <c r="A107" s="99">
        <v>93.177999999999997</v>
      </c>
      <c r="B107" s="100">
        <v>1.24</v>
      </c>
      <c r="C107" s="100">
        <v>1.39</v>
      </c>
      <c r="D107" s="100">
        <v>1.32</v>
      </c>
      <c r="E107" s="100">
        <v>1.35</v>
      </c>
      <c r="F107" s="100">
        <v>1.03</v>
      </c>
      <c r="G107" s="100">
        <v>1.1599999999999999</v>
      </c>
      <c r="H107" s="100">
        <v>1.34</v>
      </c>
      <c r="I107" s="100">
        <v>1.22</v>
      </c>
      <c r="J107" s="100">
        <v>1.22</v>
      </c>
      <c r="K107" s="100">
        <v>1.3</v>
      </c>
      <c r="L107" s="100">
        <v>1.1499999999999999</v>
      </c>
      <c r="M107" s="100">
        <v>1.21</v>
      </c>
      <c r="N107" s="100">
        <v>1.1499999999999999</v>
      </c>
      <c r="O107" s="100">
        <v>1.96</v>
      </c>
      <c r="P107" s="100">
        <v>1.43</v>
      </c>
      <c r="Q107" s="101">
        <v>1.89</v>
      </c>
      <c r="R107" s="101">
        <v>1.95</v>
      </c>
      <c r="S107" s="101">
        <v>1.91</v>
      </c>
      <c r="T107" s="101">
        <v>2.34</v>
      </c>
      <c r="U107" s="101">
        <v>2.34</v>
      </c>
      <c r="V107" s="101">
        <v>2.35</v>
      </c>
    </row>
    <row r="108" spans="1:22">
      <c r="A108" s="99">
        <v>93.144000000000005</v>
      </c>
      <c r="B108" s="100">
        <v>1.28</v>
      </c>
      <c r="C108" s="100">
        <v>1.34</v>
      </c>
      <c r="D108" s="100">
        <v>1.34</v>
      </c>
      <c r="E108" s="100">
        <v>1.3</v>
      </c>
      <c r="F108" s="100">
        <v>0.96</v>
      </c>
      <c r="G108" s="100">
        <v>1.2</v>
      </c>
      <c r="H108" s="100">
        <v>1.37</v>
      </c>
      <c r="I108" s="100">
        <v>1.19</v>
      </c>
      <c r="J108" s="100">
        <v>1.21</v>
      </c>
      <c r="K108" s="100">
        <v>1.25</v>
      </c>
      <c r="L108" s="100">
        <v>1.1100000000000001</v>
      </c>
      <c r="M108" s="100">
        <v>1.22</v>
      </c>
      <c r="N108" s="100">
        <v>1.19</v>
      </c>
      <c r="O108" s="100">
        <v>1.95</v>
      </c>
      <c r="P108" s="100">
        <v>1.43</v>
      </c>
      <c r="Q108" s="101">
        <v>1.91</v>
      </c>
      <c r="R108" s="101">
        <v>1.96</v>
      </c>
      <c r="S108" s="101">
        <v>1.9</v>
      </c>
      <c r="T108" s="101">
        <v>2.33</v>
      </c>
      <c r="U108" s="101">
        <v>2.36</v>
      </c>
      <c r="V108" s="101">
        <v>2.37</v>
      </c>
    </row>
    <row r="109" spans="1:22">
      <c r="A109" s="99">
        <v>93.058999999999997</v>
      </c>
      <c r="B109" s="100">
        <v>1.29</v>
      </c>
      <c r="C109" s="100">
        <v>1.35</v>
      </c>
      <c r="D109" s="100">
        <v>1.3</v>
      </c>
      <c r="E109" s="100">
        <v>1.3</v>
      </c>
      <c r="F109" s="100">
        <v>0.98</v>
      </c>
      <c r="G109" s="100">
        <v>1.22</v>
      </c>
      <c r="H109" s="100">
        <v>1.3</v>
      </c>
      <c r="I109" s="100">
        <v>1.22</v>
      </c>
      <c r="J109" s="100">
        <v>1.23</v>
      </c>
      <c r="K109" s="100">
        <v>1.26</v>
      </c>
      <c r="L109" s="100">
        <v>1.1499999999999999</v>
      </c>
      <c r="M109" s="100">
        <v>1.24</v>
      </c>
      <c r="N109" s="100">
        <v>1.18</v>
      </c>
      <c r="O109" s="100">
        <v>1.95</v>
      </c>
      <c r="P109" s="100">
        <v>1.44</v>
      </c>
      <c r="Q109" s="101">
        <v>1.85</v>
      </c>
      <c r="R109" s="101">
        <v>1.9</v>
      </c>
      <c r="S109" s="101">
        <v>1.85</v>
      </c>
      <c r="T109" s="101">
        <v>2.36</v>
      </c>
      <c r="U109" s="101">
        <v>2.34</v>
      </c>
      <c r="V109" s="101">
        <v>2.35</v>
      </c>
    </row>
    <row r="110" spans="1:22">
      <c r="A110" s="99">
        <v>93.171000000000006</v>
      </c>
      <c r="B110" s="100">
        <v>1.28</v>
      </c>
      <c r="C110" s="100">
        <v>1.36</v>
      </c>
      <c r="D110" s="100">
        <v>1.27</v>
      </c>
      <c r="E110" s="100">
        <v>1.37</v>
      </c>
      <c r="F110" s="100">
        <v>1.01</v>
      </c>
      <c r="G110" s="100">
        <v>1.18</v>
      </c>
      <c r="H110" s="100">
        <v>1.35</v>
      </c>
      <c r="I110" s="100">
        <v>1.22</v>
      </c>
      <c r="J110" s="100">
        <v>1.19</v>
      </c>
      <c r="K110" s="100">
        <v>1.27</v>
      </c>
      <c r="L110" s="100">
        <v>1.1100000000000001</v>
      </c>
      <c r="M110" s="100">
        <v>1.23</v>
      </c>
      <c r="N110" s="100">
        <v>1.17</v>
      </c>
      <c r="O110" s="100">
        <v>1.98</v>
      </c>
      <c r="P110" s="100">
        <v>1.47</v>
      </c>
      <c r="Q110" s="101">
        <v>1.88</v>
      </c>
      <c r="R110" s="101">
        <v>1.91</v>
      </c>
      <c r="S110" s="101">
        <v>1.86</v>
      </c>
      <c r="T110" s="101">
        <v>2.36</v>
      </c>
      <c r="U110" s="101">
        <v>2.35</v>
      </c>
      <c r="V110" s="101">
        <v>2.36</v>
      </c>
    </row>
    <row r="111" spans="1:22">
      <c r="A111" s="99">
        <v>93.159000000000006</v>
      </c>
      <c r="B111" s="100">
        <v>1.27</v>
      </c>
      <c r="C111" s="100">
        <v>1.39</v>
      </c>
      <c r="D111" s="100">
        <v>1.3</v>
      </c>
      <c r="E111" s="100">
        <v>1.34</v>
      </c>
      <c r="F111" s="100">
        <v>0.99</v>
      </c>
      <c r="G111" s="100">
        <v>1.23</v>
      </c>
      <c r="H111" s="100">
        <v>1.33</v>
      </c>
      <c r="I111" s="100">
        <v>1.1599999999999999</v>
      </c>
      <c r="J111" s="100">
        <v>1.24</v>
      </c>
      <c r="K111" s="100">
        <v>1.29</v>
      </c>
      <c r="L111" s="100">
        <v>1.1299999999999999</v>
      </c>
      <c r="M111" s="100">
        <v>1.2</v>
      </c>
      <c r="N111" s="100">
        <v>1.21</v>
      </c>
      <c r="O111" s="100">
        <v>1.97</v>
      </c>
      <c r="P111" s="100">
        <v>1.43</v>
      </c>
      <c r="Q111" s="101">
        <v>1.91</v>
      </c>
      <c r="R111" s="101">
        <v>1.96</v>
      </c>
      <c r="S111" s="101">
        <v>2.0299999999999998</v>
      </c>
      <c r="T111" s="101">
        <v>2.2999999999999998</v>
      </c>
      <c r="U111" s="101">
        <v>2.35</v>
      </c>
      <c r="V111" s="101">
        <v>2.35</v>
      </c>
    </row>
    <row r="112" spans="1:22">
      <c r="A112" s="99">
        <v>93.052999999999997</v>
      </c>
      <c r="B112" s="100">
        <v>1.31</v>
      </c>
      <c r="C112" s="100">
        <v>1.32</v>
      </c>
      <c r="D112" s="100">
        <v>1.34</v>
      </c>
      <c r="E112" s="100">
        <v>1.31</v>
      </c>
      <c r="F112" s="100">
        <v>0.99</v>
      </c>
      <c r="G112" s="100">
        <v>1.19</v>
      </c>
      <c r="H112" s="100">
        <v>1.39</v>
      </c>
      <c r="I112" s="100">
        <v>1.18</v>
      </c>
      <c r="J112" s="100">
        <v>1.22</v>
      </c>
      <c r="K112" s="100">
        <v>1.27</v>
      </c>
      <c r="L112" s="100">
        <v>1.17</v>
      </c>
      <c r="M112" s="100">
        <v>1.25</v>
      </c>
      <c r="N112" s="100">
        <v>1.1599999999999999</v>
      </c>
      <c r="O112" s="100">
        <v>1.96</v>
      </c>
      <c r="P112" s="100">
        <v>1.44</v>
      </c>
      <c r="Q112" s="101">
        <v>1.89</v>
      </c>
      <c r="R112" s="101">
        <v>1.9</v>
      </c>
      <c r="S112" s="101">
        <v>1.96</v>
      </c>
      <c r="T112" s="101">
        <v>2.31</v>
      </c>
      <c r="U112" s="101">
        <v>2.36</v>
      </c>
      <c r="V112" s="101">
        <v>2.35</v>
      </c>
    </row>
    <row r="113" spans="1:22">
      <c r="A113" s="99">
        <v>93.204000000000008</v>
      </c>
      <c r="B113" s="100">
        <v>1.27</v>
      </c>
      <c r="C113" s="100">
        <v>1.36</v>
      </c>
      <c r="D113" s="100">
        <v>1.34</v>
      </c>
      <c r="E113" s="100">
        <v>1.34</v>
      </c>
      <c r="F113" s="100">
        <v>1.04</v>
      </c>
      <c r="G113" s="100">
        <v>1.26</v>
      </c>
      <c r="H113" s="100">
        <v>1.35</v>
      </c>
      <c r="I113" s="100">
        <v>1.2</v>
      </c>
      <c r="J113" s="100">
        <v>1.23</v>
      </c>
      <c r="K113" s="100">
        <v>1.3</v>
      </c>
      <c r="L113" s="100">
        <v>1.1200000000000001</v>
      </c>
      <c r="M113" s="100">
        <v>1.2</v>
      </c>
      <c r="N113" s="100">
        <v>1.22</v>
      </c>
      <c r="O113" s="100">
        <v>1.98</v>
      </c>
      <c r="P113" s="100">
        <v>1.44</v>
      </c>
      <c r="Q113" s="101">
        <v>1.91</v>
      </c>
      <c r="R113" s="101">
        <v>1.96</v>
      </c>
      <c r="S113" s="101">
        <v>1.94</v>
      </c>
      <c r="T113" s="101">
        <v>2.31</v>
      </c>
      <c r="U113" s="101">
        <v>2.36</v>
      </c>
      <c r="V113" s="101">
        <v>2.38</v>
      </c>
    </row>
    <row r="114" spans="1:22">
      <c r="A114" s="99">
        <v>93.177999999999997</v>
      </c>
      <c r="B114" s="100">
        <v>1.29</v>
      </c>
      <c r="C114" s="100">
        <v>1.32</v>
      </c>
      <c r="D114" s="100">
        <v>1.28</v>
      </c>
      <c r="E114" s="100">
        <v>1.31</v>
      </c>
      <c r="F114" s="100">
        <v>0.96</v>
      </c>
      <c r="G114" s="100">
        <v>1.18</v>
      </c>
      <c r="H114" s="100">
        <v>1.3</v>
      </c>
      <c r="I114" s="100">
        <v>1.21</v>
      </c>
      <c r="J114" s="100">
        <v>1.25</v>
      </c>
      <c r="K114" s="100">
        <v>1.24</v>
      </c>
      <c r="L114" s="100">
        <v>1.17</v>
      </c>
      <c r="M114" s="100">
        <v>1.19</v>
      </c>
      <c r="N114" s="100">
        <v>1.1200000000000001</v>
      </c>
      <c r="O114" s="100">
        <v>1.95</v>
      </c>
      <c r="P114" s="100">
        <v>1.42</v>
      </c>
      <c r="Q114" s="101">
        <v>1.89</v>
      </c>
      <c r="R114" s="101">
        <v>1.91</v>
      </c>
      <c r="S114" s="101">
        <v>1.91</v>
      </c>
      <c r="T114" s="101">
        <v>2.34</v>
      </c>
      <c r="U114" s="101">
        <v>2.37</v>
      </c>
      <c r="V114" s="101">
        <v>2.39</v>
      </c>
    </row>
    <row r="115" spans="1:22">
      <c r="A115" s="99">
        <v>93.039000000000001</v>
      </c>
      <c r="B115" s="100">
        <v>1.27</v>
      </c>
      <c r="C115" s="100">
        <v>1.35</v>
      </c>
      <c r="D115" s="100">
        <v>1.32</v>
      </c>
      <c r="E115" s="100">
        <v>1.34</v>
      </c>
      <c r="F115" s="100">
        <v>0.98</v>
      </c>
      <c r="G115" s="100">
        <v>1.19</v>
      </c>
      <c r="H115" s="100">
        <v>1.28</v>
      </c>
      <c r="I115" s="100">
        <v>1.2</v>
      </c>
      <c r="J115" s="100">
        <v>1.22</v>
      </c>
      <c r="K115" s="100">
        <v>1.27</v>
      </c>
      <c r="L115" s="100">
        <v>1.1200000000000001</v>
      </c>
      <c r="M115" s="100">
        <v>1.19</v>
      </c>
      <c r="N115" s="100">
        <v>1.1499999999999999</v>
      </c>
      <c r="O115" s="100">
        <v>1.95</v>
      </c>
      <c r="P115" s="100">
        <v>1.48</v>
      </c>
      <c r="Q115" s="101">
        <v>1.89</v>
      </c>
      <c r="R115" s="101">
        <v>1.91</v>
      </c>
      <c r="S115" s="101">
        <v>1.91</v>
      </c>
      <c r="T115" s="101">
        <v>2.34</v>
      </c>
      <c r="U115" s="101">
        <v>2.37</v>
      </c>
      <c r="V115" s="101">
        <v>2.39</v>
      </c>
    </row>
    <row r="116" spans="1:22">
      <c r="A116" s="99">
        <v>93.171000000000006</v>
      </c>
      <c r="B116" s="100">
        <v>1.29</v>
      </c>
      <c r="C116" s="100">
        <v>1.36</v>
      </c>
      <c r="D116" s="100">
        <v>1.32</v>
      </c>
      <c r="E116" s="100">
        <v>1.33</v>
      </c>
      <c r="F116" s="100">
        <v>0.99</v>
      </c>
      <c r="G116" s="100">
        <v>1.22</v>
      </c>
      <c r="H116" s="100">
        <v>1.36</v>
      </c>
      <c r="I116" s="100">
        <v>1.19</v>
      </c>
      <c r="J116" s="100">
        <v>1.25</v>
      </c>
      <c r="K116" s="100">
        <v>1.28</v>
      </c>
      <c r="L116" s="100">
        <v>1.1499999999999999</v>
      </c>
      <c r="M116" s="100">
        <v>1.2</v>
      </c>
      <c r="N116" s="100">
        <v>1.21</v>
      </c>
      <c r="O116" s="100">
        <v>1.94</v>
      </c>
      <c r="P116" s="100">
        <v>1.43</v>
      </c>
      <c r="Q116" s="101">
        <v>1.92</v>
      </c>
      <c r="R116" s="101">
        <v>1.95</v>
      </c>
      <c r="S116" s="101">
        <v>1.93</v>
      </c>
      <c r="T116" s="101">
        <v>2.36</v>
      </c>
      <c r="U116" s="101">
        <v>2.37</v>
      </c>
      <c r="V116" s="101">
        <v>2.37</v>
      </c>
    </row>
    <row r="117" spans="1:22">
      <c r="A117" s="99">
        <v>93.209000000000003</v>
      </c>
      <c r="B117" s="100">
        <v>1.3</v>
      </c>
      <c r="C117" s="100">
        <v>1.33</v>
      </c>
      <c r="D117" s="100">
        <v>1.26</v>
      </c>
      <c r="E117" s="100">
        <v>1.34</v>
      </c>
      <c r="F117" s="100">
        <v>1</v>
      </c>
      <c r="G117" s="100">
        <v>1.18</v>
      </c>
      <c r="H117" s="100">
        <v>1.38</v>
      </c>
      <c r="I117" s="100">
        <v>1.17</v>
      </c>
      <c r="J117" s="100">
        <v>1.19</v>
      </c>
      <c r="K117" s="100">
        <v>1.27</v>
      </c>
      <c r="L117" s="100">
        <v>1.18</v>
      </c>
      <c r="M117" s="100">
        <v>1.19</v>
      </c>
      <c r="N117" s="100">
        <v>1.1299999999999999</v>
      </c>
      <c r="O117" s="100">
        <v>1.97</v>
      </c>
      <c r="P117" s="100">
        <v>1.45</v>
      </c>
      <c r="Q117" s="101">
        <v>1.94</v>
      </c>
      <c r="R117" s="101">
        <v>1.97</v>
      </c>
      <c r="S117" s="101">
        <v>1.93</v>
      </c>
      <c r="T117" s="101">
        <v>2.36</v>
      </c>
      <c r="U117" s="101">
        <v>2.35</v>
      </c>
      <c r="V117" s="101">
        <v>2.34</v>
      </c>
    </row>
    <row r="118" spans="1:22">
      <c r="A118" s="99">
        <v>93.022999999999996</v>
      </c>
      <c r="B118" s="100">
        <v>1.29</v>
      </c>
      <c r="C118" s="100">
        <v>1.35</v>
      </c>
      <c r="D118" s="100">
        <v>1.3</v>
      </c>
      <c r="E118" s="100">
        <v>1.36</v>
      </c>
      <c r="F118" s="100">
        <v>0.99</v>
      </c>
      <c r="G118" s="100">
        <v>1.21</v>
      </c>
      <c r="H118" s="100">
        <v>1.3</v>
      </c>
      <c r="I118" s="100">
        <v>1.2</v>
      </c>
      <c r="J118" s="100">
        <v>1.23</v>
      </c>
      <c r="K118" s="100">
        <v>1.32</v>
      </c>
      <c r="L118" s="100">
        <v>1.1299999999999999</v>
      </c>
      <c r="M118" s="100">
        <v>1.21</v>
      </c>
      <c r="N118" s="100">
        <v>1.1599999999999999</v>
      </c>
      <c r="O118" s="100">
        <v>1.96</v>
      </c>
      <c r="P118" s="100">
        <v>1.44</v>
      </c>
      <c r="Q118" s="101">
        <v>2.0099999999999998</v>
      </c>
      <c r="R118" s="101">
        <v>1.99</v>
      </c>
      <c r="S118" s="101">
        <v>1.96</v>
      </c>
      <c r="T118" s="101">
        <v>2.34</v>
      </c>
      <c r="U118" s="101">
        <v>2.37</v>
      </c>
      <c r="V118" s="101">
        <v>2.36</v>
      </c>
    </row>
    <row r="119" spans="1:22">
      <c r="A119" s="99">
        <v>93.204000000000008</v>
      </c>
      <c r="B119" s="100">
        <v>1.31</v>
      </c>
      <c r="C119" s="100">
        <v>1.35</v>
      </c>
      <c r="D119" s="100">
        <v>1.3</v>
      </c>
      <c r="E119" s="100">
        <v>1.29</v>
      </c>
      <c r="F119" s="100">
        <v>0.99</v>
      </c>
      <c r="G119" s="100">
        <v>1.17</v>
      </c>
      <c r="H119" s="100">
        <v>1.34</v>
      </c>
      <c r="I119" s="100">
        <v>1.21</v>
      </c>
      <c r="J119" s="100">
        <v>1.21</v>
      </c>
      <c r="K119" s="100">
        <v>1.27</v>
      </c>
      <c r="L119" s="100">
        <v>1.17</v>
      </c>
      <c r="M119" s="100">
        <v>1.25</v>
      </c>
      <c r="N119" s="100">
        <v>1.19</v>
      </c>
      <c r="O119" s="100">
        <v>1.95</v>
      </c>
      <c r="P119" s="100">
        <v>1.44</v>
      </c>
      <c r="Q119" s="101">
        <v>2</v>
      </c>
      <c r="R119" s="101">
        <v>1.99</v>
      </c>
      <c r="S119" s="101">
        <v>1.96</v>
      </c>
      <c r="T119" s="101">
        <v>2.36</v>
      </c>
      <c r="U119" s="101">
        <v>2.37</v>
      </c>
      <c r="V119" s="101">
        <v>2.36</v>
      </c>
    </row>
    <row r="120" spans="1:22">
      <c r="A120" s="99">
        <v>93.058999999999997</v>
      </c>
      <c r="B120" s="100">
        <v>1.31</v>
      </c>
      <c r="C120" s="100">
        <v>1.31</v>
      </c>
      <c r="D120" s="100">
        <v>1.33</v>
      </c>
      <c r="E120" s="100">
        <v>1.37</v>
      </c>
      <c r="F120" s="100">
        <v>1.01</v>
      </c>
      <c r="G120" s="100">
        <v>1.24</v>
      </c>
      <c r="H120" s="100">
        <v>1.34</v>
      </c>
      <c r="I120" s="100">
        <v>1.22</v>
      </c>
      <c r="J120" s="100">
        <v>1.24</v>
      </c>
      <c r="K120" s="100">
        <v>1.29</v>
      </c>
      <c r="L120" s="100">
        <v>1.1299999999999999</v>
      </c>
      <c r="M120" s="100">
        <v>1.24</v>
      </c>
      <c r="N120" s="100">
        <v>1.22</v>
      </c>
      <c r="O120" s="100">
        <v>1.96</v>
      </c>
      <c r="P120" s="100">
        <v>1.47</v>
      </c>
      <c r="Q120" s="101">
        <v>1.94</v>
      </c>
      <c r="R120" s="101">
        <v>1.99</v>
      </c>
      <c r="S120" s="101">
        <v>1.96</v>
      </c>
      <c r="T120" s="101">
        <v>2.37</v>
      </c>
      <c r="U120" s="101">
        <v>2.38</v>
      </c>
      <c r="V120" s="101">
        <v>2.36</v>
      </c>
    </row>
    <row r="121" spans="1:22">
      <c r="A121" s="99">
        <v>93.105999999999995</v>
      </c>
      <c r="B121" s="100">
        <v>1.26</v>
      </c>
      <c r="C121" s="100">
        <v>1.38</v>
      </c>
      <c r="D121" s="100">
        <v>1.3</v>
      </c>
      <c r="E121" s="100">
        <v>1.31</v>
      </c>
      <c r="F121" s="100">
        <v>0.96</v>
      </c>
      <c r="G121" s="100">
        <v>1.19</v>
      </c>
      <c r="H121" s="100">
        <v>1.32</v>
      </c>
      <c r="I121" s="100">
        <v>1.17</v>
      </c>
      <c r="J121" s="100">
        <v>1.22</v>
      </c>
      <c r="K121" s="100">
        <v>1.27</v>
      </c>
      <c r="L121" s="100">
        <v>1.1599999999999999</v>
      </c>
      <c r="M121" s="100">
        <v>1.23</v>
      </c>
      <c r="N121" s="100">
        <v>1.21</v>
      </c>
      <c r="O121" s="100">
        <v>1.98</v>
      </c>
      <c r="P121" s="100">
        <v>1.43</v>
      </c>
      <c r="Q121" s="101">
        <v>1.96</v>
      </c>
      <c r="R121" s="101">
        <v>1.98</v>
      </c>
      <c r="S121" s="101">
        <v>1.97</v>
      </c>
      <c r="T121" s="101">
        <v>2.36</v>
      </c>
      <c r="U121" s="101">
        <v>2.39</v>
      </c>
      <c r="V121" s="101">
        <v>2.37</v>
      </c>
    </row>
    <row r="122" spans="1:22">
      <c r="A122" s="99">
        <v>93.087999999999994</v>
      </c>
      <c r="B122" s="100">
        <v>1.32</v>
      </c>
      <c r="C122" s="100">
        <v>1.33</v>
      </c>
      <c r="D122" s="100">
        <v>1.29</v>
      </c>
      <c r="E122" s="100">
        <v>1.31</v>
      </c>
      <c r="F122" s="100">
        <v>0.98</v>
      </c>
      <c r="G122" s="100">
        <v>1.23</v>
      </c>
      <c r="H122" s="100">
        <v>1.37</v>
      </c>
      <c r="I122" s="100">
        <v>1.2</v>
      </c>
      <c r="J122" s="100">
        <v>1.23</v>
      </c>
      <c r="K122" s="100">
        <v>1.31</v>
      </c>
      <c r="L122" s="100">
        <v>1.1499999999999999</v>
      </c>
      <c r="M122" s="100">
        <v>1.17</v>
      </c>
      <c r="N122" s="100">
        <v>1.1499999999999999</v>
      </c>
      <c r="O122" s="100">
        <v>1.96</v>
      </c>
      <c r="P122" s="100">
        <v>1.44</v>
      </c>
      <c r="Q122" s="101">
        <v>2.0099999999999998</v>
      </c>
      <c r="R122" s="101">
        <v>2.06</v>
      </c>
      <c r="S122" s="101">
        <v>2.08</v>
      </c>
      <c r="T122" s="101">
        <v>2.4</v>
      </c>
      <c r="U122" s="101">
        <v>2.39</v>
      </c>
      <c r="V122" s="101">
        <v>2.35</v>
      </c>
    </row>
    <row r="123" spans="1:22">
      <c r="A123" s="99">
        <v>93.207999999999998</v>
      </c>
      <c r="B123" s="100">
        <v>1.28</v>
      </c>
      <c r="C123" s="100">
        <v>1.35</v>
      </c>
      <c r="D123" s="100">
        <v>1.29</v>
      </c>
      <c r="E123" s="100">
        <v>1.36</v>
      </c>
      <c r="F123" s="100">
        <v>1.02</v>
      </c>
      <c r="G123" s="100">
        <v>1.18</v>
      </c>
      <c r="H123" s="100">
        <v>1.33</v>
      </c>
      <c r="I123" s="100">
        <v>1.2</v>
      </c>
      <c r="J123" s="100">
        <v>1.21</v>
      </c>
      <c r="K123" s="100">
        <v>1.28</v>
      </c>
      <c r="L123" s="100">
        <v>1.1399999999999999</v>
      </c>
      <c r="M123" s="100">
        <v>1.23</v>
      </c>
      <c r="N123" s="100">
        <v>1.1399999999999999</v>
      </c>
      <c r="O123" s="100">
        <v>1.95</v>
      </c>
      <c r="P123" s="100">
        <v>1.46</v>
      </c>
      <c r="Q123" s="101">
        <v>1.92</v>
      </c>
      <c r="R123" s="101">
        <v>1.98</v>
      </c>
      <c r="S123" s="101">
        <v>1.86</v>
      </c>
      <c r="T123" s="101">
        <v>2.4300000000000002</v>
      </c>
      <c r="U123" s="101">
        <v>2.39</v>
      </c>
      <c r="V123" s="101">
        <v>2.38</v>
      </c>
    </row>
    <row r="124" spans="1:22">
      <c r="A124" s="99">
        <v>93.009</v>
      </c>
      <c r="B124" s="100">
        <v>1.29</v>
      </c>
      <c r="C124" s="100">
        <v>1.35</v>
      </c>
      <c r="D124" s="100">
        <v>1.32</v>
      </c>
      <c r="E124" s="100">
        <v>1.29</v>
      </c>
      <c r="F124" s="100">
        <v>0.99</v>
      </c>
      <c r="G124" s="100">
        <v>1.21</v>
      </c>
      <c r="H124" s="100">
        <v>1.36</v>
      </c>
      <c r="I124" s="100">
        <v>1.18</v>
      </c>
      <c r="J124" s="100">
        <v>1.23</v>
      </c>
      <c r="K124" s="100">
        <v>1.26</v>
      </c>
      <c r="L124" s="100">
        <v>1.17</v>
      </c>
      <c r="M124" s="100">
        <v>1.22</v>
      </c>
      <c r="N124" s="100">
        <v>1.1499999999999999</v>
      </c>
      <c r="O124" s="100">
        <v>1.95</v>
      </c>
      <c r="P124" s="100">
        <v>1.43</v>
      </c>
      <c r="Q124" s="101">
        <v>1.93</v>
      </c>
      <c r="R124" s="101">
        <v>1.97</v>
      </c>
      <c r="S124" s="101">
        <v>1.87</v>
      </c>
      <c r="T124" s="101">
        <v>2.4300000000000002</v>
      </c>
      <c r="U124" s="101">
        <v>2.39</v>
      </c>
      <c r="V124" s="101">
        <v>2.39</v>
      </c>
    </row>
    <row r="125" spans="1:22">
      <c r="A125" s="99">
        <v>93.181000000000012</v>
      </c>
      <c r="B125" s="100">
        <v>1.29</v>
      </c>
      <c r="C125" s="100">
        <v>1.36</v>
      </c>
      <c r="D125" s="100">
        <v>1.33</v>
      </c>
      <c r="E125" s="100">
        <v>1.37</v>
      </c>
      <c r="F125" s="100">
        <v>0.99</v>
      </c>
      <c r="G125" s="100">
        <v>1.1599999999999999</v>
      </c>
      <c r="H125" s="100">
        <v>1.37</v>
      </c>
      <c r="I125" s="100">
        <v>1.2</v>
      </c>
      <c r="J125" s="100">
        <v>1.26</v>
      </c>
      <c r="K125" s="100">
        <v>1.29</v>
      </c>
      <c r="L125" s="100">
        <v>1.1200000000000001</v>
      </c>
      <c r="M125" s="100">
        <v>1.21</v>
      </c>
      <c r="N125" s="100">
        <v>1.17</v>
      </c>
      <c r="O125" s="100">
        <v>1.95</v>
      </c>
      <c r="P125" s="100">
        <v>1.45</v>
      </c>
      <c r="Q125" s="101">
        <v>2.06</v>
      </c>
      <c r="R125" s="101">
        <v>1.97</v>
      </c>
      <c r="S125" s="101">
        <v>1.91</v>
      </c>
      <c r="T125" s="101">
        <v>2.33</v>
      </c>
      <c r="U125" s="101">
        <v>2.31</v>
      </c>
      <c r="V125" s="101">
        <v>2.34</v>
      </c>
    </row>
    <row r="126" spans="1:22">
      <c r="A126" s="99">
        <v>93.019000000000005</v>
      </c>
      <c r="B126" s="100">
        <v>1.29</v>
      </c>
      <c r="C126" s="100">
        <v>1.35</v>
      </c>
      <c r="D126" s="100">
        <v>1.3</v>
      </c>
      <c r="E126" s="100">
        <v>1.34</v>
      </c>
      <c r="F126" s="100">
        <v>1</v>
      </c>
      <c r="G126" s="100">
        <v>1.22</v>
      </c>
      <c r="H126" s="100">
        <v>1.32</v>
      </c>
      <c r="I126" s="100">
        <v>1.17</v>
      </c>
      <c r="J126" s="100">
        <v>1.2</v>
      </c>
      <c r="K126" s="100">
        <v>1.26</v>
      </c>
      <c r="L126" s="100">
        <v>1.1200000000000001</v>
      </c>
      <c r="M126" s="100">
        <v>1.18</v>
      </c>
      <c r="N126" s="100">
        <v>1.2</v>
      </c>
      <c r="O126" s="100">
        <v>1.96</v>
      </c>
      <c r="P126" s="100">
        <v>1.43</v>
      </c>
      <c r="Q126" s="101">
        <v>2.04</v>
      </c>
      <c r="R126" s="101">
        <v>1.98</v>
      </c>
      <c r="S126" s="101">
        <v>1.93</v>
      </c>
      <c r="T126" s="101">
        <v>2.33</v>
      </c>
      <c r="U126" s="101">
        <v>2.3199999999999998</v>
      </c>
      <c r="V126" s="101">
        <v>2.34</v>
      </c>
    </row>
    <row r="127" spans="1:22">
      <c r="A127" s="99">
        <v>93.165999999999997</v>
      </c>
      <c r="B127" s="100">
        <v>1.27</v>
      </c>
      <c r="C127" s="100">
        <v>1.32</v>
      </c>
      <c r="D127" s="100">
        <v>1.34</v>
      </c>
      <c r="E127" s="100">
        <v>1.3</v>
      </c>
      <c r="F127" s="100">
        <v>0.97</v>
      </c>
      <c r="G127" s="100">
        <v>1.2</v>
      </c>
      <c r="H127" s="100">
        <v>1.36</v>
      </c>
      <c r="I127" s="100">
        <v>1.18</v>
      </c>
      <c r="J127" s="100">
        <v>1.23</v>
      </c>
      <c r="K127" s="100">
        <v>1.27</v>
      </c>
      <c r="L127" s="100">
        <v>1.1299999999999999</v>
      </c>
      <c r="M127" s="100">
        <v>1.23</v>
      </c>
      <c r="N127" s="100">
        <v>1.18</v>
      </c>
      <c r="O127" s="100">
        <v>1.95</v>
      </c>
      <c r="P127" s="100">
        <v>1.44</v>
      </c>
      <c r="Q127" s="101">
        <v>1.88</v>
      </c>
      <c r="R127" s="101">
        <v>1.91</v>
      </c>
      <c r="S127" s="101">
        <v>1.94</v>
      </c>
      <c r="T127" s="101">
        <v>2.27</v>
      </c>
      <c r="U127" s="101">
        <v>2.29</v>
      </c>
      <c r="V127" s="101">
        <v>2.2599999999999998</v>
      </c>
    </row>
    <row r="128" spans="1:22">
      <c r="A128" s="99">
        <v>93.018000000000001</v>
      </c>
      <c r="B128" s="100">
        <v>1.33</v>
      </c>
      <c r="C128" s="100">
        <v>1.36</v>
      </c>
      <c r="D128" s="100">
        <v>1.29</v>
      </c>
      <c r="E128" s="100">
        <v>1.36</v>
      </c>
      <c r="F128" s="100">
        <v>1</v>
      </c>
      <c r="G128" s="100">
        <v>1.17</v>
      </c>
      <c r="H128" s="100">
        <v>1.33</v>
      </c>
      <c r="I128" s="100">
        <v>1.2</v>
      </c>
      <c r="J128" s="100">
        <v>1.22</v>
      </c>
      <c r="K128" s="100">
        <v>1.3</v>
      </c>
      <c r="L128" s="100">
        <v>1.18</v>
      </c>
      <c r="M128" s="100">
        <v>1.17</v>
      </c>
      <c r="N128" s="100">
        <v>1.1299999999999999</v>
      </c>
      <c r="O128" s="100">
        <v>1.98</v>
      </c>
      <c r="P128" s="100">
        <v>1.47</v>
      </c>
      <c r="Q128" s="101">
        <v>1.91</v>
      </c>
      <c r="R128" s="101">
        <v>1.96</v>
      </c>
      <c r="S128" s="101">
        <v>1.9</v>
      </c>
      <c r="T128" s="101">
        <v>2.29</v>
      </c>
      <c r="U128" s="101">
        <v>2.31</v>
      </c>
      <c r="V128" s="101">
        <v>2.29</v>
      </c>
    </row>
    <row r="129" spans="1:22">
      <c r="A129" s="99">
        <v>93.064000000000007</v>
      </c>
      <c r="B129" s="100">
        <v>1.28</v>
      </c>
      <c r="C129" s="100">
        <v>1.34</v>
      </c>
      <c r="D129" s="100">
        <v>1.32</v>
      </c>
      <c r="E129" s="100">
        <v>1.32</v>
      </c>
      <c r="F129" s="100">
        <v>0.97</v>
      </c>
      <c r="G129" s="100">
        <v>1.21</v>
      </c>
      <c r="H129" s="100">
        <v>1.37</v>
      </c>
      <c r="I129" s="100">
        <v>1.18</v>
      </c>
      <c r="J129" s="100">
        <v>1.25</v>
      </c>
      <c r="K129" s="100">
        <v>1.26</v>
      </c>
      <c r="L129" s="100">
        <v>1.18</v>
      </c>
      <c r="M129" s="100">
        <v>1.23</v>
      </c>
      <c r="N129" s="100">
        <v>1.21</v>
      </c>
      <c r="O129" s="100">
        <v>1.95</v>
      </c>
      <c r="P129" s="100">
        <v>1.44</v>
      </c>
      <c r="Q129" s="101">
        <v>1.85</v>
      </c>
      <c r="R129" s="101">
        <v>1.88</v>
      </c>
      <c r="S129" s="101">
        <v>1.93</v>
      </c>
      <c r="T129" s="101">
        <v>2.35</v>
      </c>
      <c r="U129" s="101">
        <v>2.36</v>
      </c>
      <c r="V129" s="101">
        <v>2.33</v>
      </c>
    </row>
    <row r="130" spans="1:22">
      <c r="A130" s="99">
        <v>93.15100000000001</v>
      </c>
      <c r="B130" s="100">
        <v>1.27</v>
      </c>
      <c r="C130" s="100">
        <v>1.4</v>
      </c>
      <c r="D130" s="100">
        <v>1.3</v>
      </c>
      <c r="E130" s="100">
        <v>1.36</v>
      </c>
      <c r="F130" s="100">
        <v>0.97</v>
      </c>
      <c r="G130" s="100">
        <v>1.19</v>
      </c>
      <c r="H130" s="100">
        <v>1.37</v>
      </c>
      <c r="I130" s="100">
        <v>1.21</v>
      </c>
      <c r="J130" s="100">
        <v>1.22</v>
      </c>
      <c r="K130" s="100">
        <v>1.27</v>
      </c>
      <c r="L130" s="100">
        <v>1.1100000000000001</v>
      </c>
      <c r="M130" s="100">
        <v>1.2</v>
      </c>
      <c r="N130" s="100">
        <v>1.1299999999999999</v>
      </c>
      <c r="O130" s="100">
        <v>1.97</v>
      </c>
      <c r="P130" s="100">
        <v>1.46</v>
      </c>
      <c r="Q130" s="101">
        <v>1.84</v>
      </c>
      <c r="R130" s="101">
        <v>1.86</v>
      </c>
      <c r="S130" s="101">
        <v>1.9</v>
      </c>
      <c r="T130" s="101">
        <v>2.38</v>
      </c>
      <c r="U130" s="101">
        <v>2.39</v>
      </c>
      <c r="V130" s="101">
        <v>2.35</v>
      </c>
    </row>
    <row r="131" spans="1:22">
      <c r="A131" s="99">
        <v>93.019000000000005</v>
      </c>
      <c r="B131" s="100">
        <v>1.32</v>
      </c>
      <c r="C131" s="100">
        <v>1.32</v>
      </c>
      <c r="D131" s="100">
        <v>1.33</v>
      </c>
      <c r="E131" s="100">
        <v>1.34</v>
      </c>
      <c r="F131" s="100">
        <v>1.01</v>
      </c>
      <c r="G131" s="100">
        <v>1.21</v>
      </c>
      <c r="H131" s="100">
        <v>1.3</v>
      </c>
      <c r="I131" s="100">
        <v>1.21</v>
      </c>
      <c r="J131" s="100">
        <v>1.24</v>
      </c>
      <c r="K131" s="100">
        <v>1.26</v>
      </c>
      <c r="L131" s="100">
        <v>1.1599999999999999</v>
      </c>
      <c r="M131" s="100">
        <v>1.21</v>
      </c>
      <c r="N131" s="100">
        <v>1.19</v>
      </c>
      <c r="O131" s="100">
        <v>1.96</v>
      </c>
      <c r="P131" s="100">
        <v>1.44</v>
      </c>
      <c r="Q131" s="101">
        <v>2.06</v>
      </c>
      <c r="R131" s="101">
        <v>2.1</v>
      </c>
      <c r="S131" s="101">
        <v>2.09</v>
      </c>
      <c r="T131" s="101">
        <v>2.41</v>
      </c>
      <c r="U131" s="101">
        <v>2.4</v>
      </c>
      <c r="V131" s="101">
        <v>2.39</v>
      </c>
    </row>
    <row r="132" spans="1:22">
      <c r="A132" s="99">
        <v>93.006</v>
      </c>
      <c r="B132" s="100">
        <v>1.29</v>
      </c>
      <c r="C132" s="100">
        <v>1.31</v>
      </c>
      <c r="D132" s="100">
        <v>1.29</v>
      </c>
      <c r="E132" s="100">
        <v>1.31</v>
      </c>
      <c r="F132" s="100">
        <v>1.03</v>
      </c>
      <c r="G132" s="100">
        <v>1.19</v>
      </c>
      <c r="H132" s="100">
        <v>1.37</v>
      </c>
      <c r="I132" s="100">
        <v>1.17</v>
      </c>
      <c r="J132" s="100">
        <v>1.22</v>
      </c>
      <c r="K132" s="100">
        <v>1.25</v>
      </c>
      <c r="L132" s="100">
        <v>1.1200000000000001</v>
      </c>
      <c r="M132" s="100">
        <v>1.23</v>
      </c>
      <c r="N132" s="100">
        <v>1.1299999999999999</v>
      </c>
      <c r="O132" s="100">
        <v>1.95</v>
      </c>
      <c r="P132" s="100">
        <v>1.43</v>
      </c>
      <c r="Q132" s="101">
        <v>1.84</v>
      </c>
      <c r="R132" s="101">
        <v>1.86</v>
      </c>
      <c r="S132" s="101">
        <v>1.9</v>
      </c>
      <c r="T132" s="101">
        <v>2.38</v>
      </c>
      <c r="U132" s="101">
        <v>2.39</v>
      </c>
      <c r="V132" s="101">
        <v>2.35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99673-8F30-4F4C-80C2-F957C988B852}">
  <sheetPr>
    <tabColor rgb="FF2DFF8C"/>
  </sheetPr>
  <dimension ref="A1:X31"/>
  <sheetViews>
    <sheetView tabSelected="1" view="pageBreakPreview" topLeftCell="A2" zoomScale="50" zoomScaleNormal="64" zoomScaleSheetLayoutView="50" workbookViewId="0">
      <selection activeCell="L9" sqref="L9"/>
    </sheetView>
  </sheetViews>
  <sheetFormatPr baseColWidth="10" defaultColWidth="8.88671875" defaultRowHeight="12.75"/>
  <cols>
    <col min="1" max="1" width="10" style="1" customWidth="1"/>
    <col min="2" max="2" width="15.44140625" style="1" customWidth="1"/>
    <col min="3" max="5" width="10.6640625" style="1" customWidth="1"/>
    <col min="6" max="6" width="19" style="1" customWidth="1"/>
    <col min="7" max="9" width="16.6640625" style="1" customWidth="1"/>
    <col min="10" max="11" width="7.5546875" style="1" customWidth="1"/>
    <col min="12" max="14" width="16.88671875" style="1" customWidth="1"/>
    <col min="15" max="16" width="10.5546875" style="1" customWidth="1"/>
    <col min="17" max="16384" width="8.88671875" style="1"/>
  </cols>
  <sheetData>
    <row r="1" spans="1:24" ht="39.75" customHeight="1" thickBot="1">
      <c r="A1" s="105" t="s">
        <v>0</v>
      </c>
      <c r="B1" s="106"/>
      <c r="C1" s="106"/>
      <c r="D1" s="106"/>
      <c r="E1" s="107"/>
      <c r="F1" s="108" t="s">
        <v>1</v>
      </c>
      <c r="G1" s="109"/>
      <c r="H1" s="109"/>
      <c r="I1" s="109"/>
      <c r="J1" s="109"/>
      <c r="K1" s="109"/>
      <c r="L1" s="109"/>
      <c r="M1" s="109"/>
      <c r="N1" s="109"/>
      <c r="O1" s="109"/>
      <c r="P1" s="110"/>
    </row>
    <row r="2" spans="1:24" s="2" customFormat="1" ht="29.25" customHeight="1">
      <c r="B2" s="3" t="s">
        <v>2</v>
      </c>
      <c r="C2" s="111" t="s">
        <v>3</v>
      </c>
      <c r="D2" s="111"/>
      <c r="E2" s="4"/>
      <c r="F2" s="3"/>
      <c r="G2" s="3"/>
      <c r="H2" s="5" t="s">
        <v>4</v>
      </c>
      <c r="I2" s="112"/>
      <c r="J2" s="112"/>
      <c r="K2" s="6"/>
      <c r="L2" s="6"/>
      <c r="N2" s="3" t="s">
        <v>5</v>
      </c>
      <c r="O2" s="113" t="s">
        <v>6</v>
      </c>
      <c r="P2" s="113"/>
    </row>
    <row r="3" spans="1:24" s="2" customFormat="1" ht="29.25" customHeight="1">
      <c r="B3" s="3" t="s">
        <v>7</v>
      </c>
      <c r="C3" s="7" t="s">
        <v>257</v>
      </c>
      <c r="D3" s="8"/>
      <c r="E3" s="8"/>
      <c r="F3" s="8" t="s">
        <v>8</v>
      </c>
      <c r="G3" s="3"/>
      <c r="H3" s="3" t="s">
        <v>9</v>
      </c>
      <c r="I3" s="104"/>
      <c r="J3" s="104"/>
      <c r="M3" s="6"/>
      <c r="P3" s="9"/>
    </row>
    <row r="4" spans="1:24" s="2" customFormat="1" ht="29.25" customHeight="1">
      <c r="B4" s="3" t="s">
        <v>10</v>
      </c>
      <c r="C4" s="3" t="s">
        <v>256</v>
      </c>
      <c r="D4" s="3"/>
      <c r="E4" s="3"/>
      <c r="F4" s="8"/>
      <c r="G4" s="3"/>
      <c r="H4" s="3" t="s">
        <v>11</v>
      </c>
      <c r="I4" s="104" t="s">
        <v>12</v>
      </c>
      <c r="J4" s="104"/>
      <c r="K4" s="114" t="s">
        <v>13</v>
      </c>
      <c r="L4" s="115"/>
      <c r="M4" s="114" t="s">
        <v>14</v>
      </c>
      <c r="N4" s="116"/>
      <c r="O4" s="117"/>
      <c r="P4" s="116"/>
    </row>
    <row r="5" spans="1:24" s="2" customFormat="1" ht="29.25" customHeight="1" thickBot="1">
      <c r="A5" s="10"/>
      <c r="B5" s="11" t="s">
        <v>15</v>
      </c>
      <c r="C5" s="12"/>
      <c r="D5" s="12"/>
      <c r="E5" s="12"/>
      <c r="F5" s="8" t="s">
        <v>16</v>
      </c>
      <c r="G5" s="8"/>
      <c r="H5" s="3" t="s">
        <v>17</v>
      </c>
      <c r="I5" s="118" t="s">
        <v>115</v>
      </c>
      <c r="J5" s="118"/>
      <c r="K5" s="119" t="s">
        <v>18</v>
      </c>
      <c r="L5" s="120"/>
      <c r="M5" s="119" t="s">
        <v>18</v>
      </c>
      <c r="N5" s="121"/>
      <c r="O5" s="119"/>
      <c r="P5" s="121"/>
      <c r="T5" s="13"/>
    </row>
    <row r="6" spans="1:24" s="2" customFormat="1" ht="24" customHeight="1">
      <c r="A6" s="10"/>
      <c r="B6" s="14" t="s">
        <v>19</v>
      </c>
      <c r="C6" s="15"/>
      <c r="D6" s="15"/>
      <c r="E6" s="15"/>
      <c r="F6" s="8" t="s">
        <v>20</v>
      </c>
      <c r="G6" s="122" t="s">
        <v>21</v>
      </c>
      <c r="H6" s="123"/>
      <c r="I6" s="124">
        <f>Data!A3</f>
        <v>93.016000000000005</v>
      </c>
      <c r="J6" s="125"/>
      <c r="K6" s="126"/>
      <c r="L6" s="122" t="s">
        <v>22</v>
      </c>
      <c r="M6" s="123"/>
      <c r="N6" s="124">
        <f>Data!A4</f>
        <v>93.206000000000003</v>
      </c>
      <c r="O6" s="125"/>
      <c r="P6" s="126"/>
    </row>
    <row r="7" spans="1:24" s="2" customFormat="1" ht="35.25" customHeight="1" thickBot="1">
      <c r="A7" s="127" t="s">
        <v>23</v>
      </c>
      <c r="B7" s="127"/>
      <c r="C7" s="127"/>
      <c r="D7" s="127"/>
      <c r="E7" s="127"/>
      <c r="F7" s="128"/>
      <c r="G7" s="129" t="s">
        <v>24</v>
      </c>
      <c r="H7" s="130"/>
      <c r="I7" s="130"/>
      <c r="J7" s="16" t="s">
        <v>25</v>
      </c>
      <c r="K7" s="17" t="s">
        <v>26</v>
      </c>
      <c r="L7" s="131" t="s">
        <v>24</v>
      </c>
      <c r="M7" s="130"/>
      <c r="N7" s="130"/>
      <c r="O7" s="18" t="s">
        <v>25</v>
      </c>
      <c r="P7" s="19" t="s">
        <v>26</v>
      </c>
    </row>
    <row r="8" spans="1:24" ht="42.95" customHeight="1">
      <c r="A8" s="20" t="s">
        <v>27</v>
      </c>
      <c r="B8" s="21" t="s">
        <v>28</v>
      </c>
      <c r="C8" s="132" t="s">
        <v>29</v>
      </c>
      <c r="D8" s="133"/>
      <c r="E8" s="134"/>
      <c r="F8" s="21" t="s">
        <v>30</v>
      </c>
      <c r="G8" s="22" t="s">
        <v>31</v>
      </c>
      <c r="H8" s="22" t="s">
        <v>32</v>
      </c>
      <c r="I8" s="22" t="s">
        <v>33</v>
      </c>
      <c r="J8" s="23" t="s">
        <v>34</v>
      </c>
      <c r="K8" s="24" t="s">
        <v>35</v>
      </c>
      <c r="L8" s="25" t="s">
        <v>31</v>
      </c>
      <c r="M8" s="22" t="s">
        <v>32</v>
      </c>
      <c r="N8" s="22" t="s">
        <v>33</v>
      </c>
      <c r="O8" s="26" t="s">
        <v>34</v>
      </c>
      <c r="P8" s="26" t="s">
        <v>35</v>
      </c>
    </row>
    <row r="9" spans="1:24" s="32" customFormat="1" ht="46.5" customHeight="1">
      <c r="A9" s="27" t="s">
        <v>36</v>
      </c>
      <c r="B9" s="28" t="s">
        <v>37</v>
      </c>
      <c r="C9" s="135" t="s">
        <v>38</v>
      </c>
      <c r="D9" s="136"/>
      <c r="E9" s="137"/>
      <c r="F9" s="29" t="s">
        <v>39</v>
      </c>
      <c r="G9" s="97">
        <f>Data!Q3</f>
        <v>1.85</v>
      </c>
      <c r="H9" s="97">
        <f>Data!R3</f>
        <v>1.95</v>
      </c>
      <c r="I9" s="97">
        <f>Data!S3</f>
        <v>1.82</v>
      </c>
      <c r="J9" s="98">
        <f>(MAX(G9:I9)-MIN(G9:I9))</f>
        <v>0.12999999999999989</v>
      </c>
      <c r="K9" s="30" t="s">
        <v>40</v>
      </c>
      <c r="L9" s="97">
        <f>Data!Q4</f>
        <v>1.86</v>
      </c>
      <c r="M9" s="97">
        <f>Data!R4</f>
        <v>1.96</v>
      </c>
      <c r="N9" s="97">
        <f>Data!S4</f>
        <v>1.83</v>
      </c>
      <c r="O9" s="98">
        <f>(MAX(L9:N9)-MIN(L9:N9))</f>
        <v>0.12999999999999989</v>
      </c>
      <c r="P9" s="31" t="s">
        <v>40</v>
      </c>
    </row>
    <row r="10" spans="1:24" ht="46.5" customHeight="1">
      <c r="A10" s="33" t="s">
        <v>41</v>
      </c>
      <c r="B10" s="34" t="s">
        <v>42</v>
      </c>
      <c r="C10" s="35">
        <v>1.8715000000000002</v>
      </c>
      <c r="D10" s="36">
        <v>2</v>
      </c>
      <c r="E10" s="37">
        <v>2.1284999999999998</v>
      </c>
      <c r="F10" s="38" t="s">
        <v>43</v>
      </c>
      <c r="G10" s="97">
        <f>Data!O3</f>
        <v>1.94</v>
      </c>
      <c r="H10" s="97">
        <f>G10+S10</f>
        <v>1.97</v>
      </c>
      <c r="I10" s="97">
        <f>G10-S10</f>
        <v>1.91</v>
      </c>
      <c r="J10" s="98">
        <f t="shared" ref="J10:J25" si="0">(MAX(G10:I10)-MIN(G10:I10))</f>
        <v>6.0000000000000053E-2</v>
      </c>
      <c r="K10" s="39"/>
      <c r="L10" s="97">
        <f>Data!O4</f>
        <v>1.95</v>
      </c>
      <c r="M10" s="97">
        <f>L10+X10</f>
        <v>1.97</v>
      </c>
      <c r="N10" s="97">
        <f>L10-X10</f>
        <v>1.93</v>
      </c>
      <c r="O10" s="98">
        <f t="shared" ref="O10:O25" si="1">(MAX(L10:N10)-MIN(L10:N10))</f>
        <v>4.0000000000000036E-2</v>
      </c>
      <c r="P10" s="40" t="s">
        <v>40</v>
      </c>
      <c r="S10" s="1">
        <v>0.03</v>
      </c>
      <c r="X10" s="1">
        <v>0.02</v>
      </c>
    </row>
    <row r="11" spans="1:24" ht="46.5" customHeight="1">
      <c r="A11" s="41" t="s">
        <v>44</v>
      </c>
      <c r="B11" s="42" t="s">
        <v>45</v>
      </c>
      <c r="C11" s="43">
        <v>1.2014000000000002</v>
      </c>
      <c r="D11" s="44">
        <v>1.37</v>
      </c>
      <c r="E11" s="45">
        <v>1.5386</v>
      </c>
      <c r="F11" s="46" t="s">
        <v>46</v>
      </c>
      <c r="G11" s="97">
        <f>Data!H3</f>
        <v>1.37</v>
      </c>
      <c r="H11" s="97">
        <f t="shared" ref="H11:H24" si="2">G11+S11</f>
        <v>1.4200000000000002</v>
      </c>
      <c r="I11" s="97">
        <f t="shared" ref="I11:I24" si="3">G11-S11</f>
        <v>1.32</v>
      </c>
      <c r="J11" s="98">
        <f t="shared" si="0"/>
        <v>0.10000000000000009</v>
      </c>
      <c r="K11" s="39"/>
      <c r="L11" s="97">
        <f>Data!H4</f>
        <v>1.29</v>
      </c>
      <c r="M11" s="97">
        <f t="shared" ref="M11:M24" si="4">L11+X11</f>
        <v>1.3</v>
      </c>
      <c r="N11" s="97">
        <f t="shared" ref="N11:N24" si="5">L11-X11</f>
        <v>1.28</v>
      </c>
      <c r="O11" s="98">
        <f t="shared" si="1"/>
        <v>2.0000000000000018E-2</v>
      </c>
      <c r="P11" s="40"/>
      <c r="Q11" s="47"/>
      <c r="R11" s="47"/>
      <c r="S11" s="1">
        <v>0.05</v>
      </c>
      <c r="T11" s="1">
        <v>0.1</v>
      </c>
      <c r="X11" s="1">
        <v>1.0000000000000002E-2</v>
      </c>
    </row>
    <row r="12" spans="1:24" ht="46.5" customHeight="1">
      <c r="A12" s="33" t="s">
        <v>47</v>
      </c>
      <c r="B12" s="48" t="s">
        <v>48</v>
      </c>
      <c r="C12" s="35">
        <v>1.028</v>
      </c>
      <c r="D12" s="36">
        <v>1.2</v>
      </c>
      <c r="E12" s="37">
        <v>1.3719999999999999</v>
      </c>
      <c r="F12" s="48" t="s">
        <v>49</v>
      </c>
      <c r="G12" s="97">
        <f>Data!N3</f>
        <v>1.2</v>
      </c>
      <c r="H12" s="97">
        <f t="shared" si="2"/>
        <v>1.26</v>
      </c>
      <c r="I12" s="97">
        <f t="shared" si="3"/>
        <v>1.1399999999999999</v>
      </c>
      <c r="J12" s="98">
        <f t="shared" si="0"/>
        <v>0.12000000000000011</v>
      </c>
      <c r="K12" s="39"/>
      <c r="L12" s="97">
        <f>Data!N4</f>
        <v>1.17</v>
      </c>
      <c r="M12" s="97">
        <f t="shared" si="4"/>
        <v>1.2</v>
      </c>
      <c r="N12" s="97">
        <f t="shared" si="5"/>
        <v>1.1399999999999999</v>
      </c>
      <c r="O12" s="98">
        <f t="shared" si="1"/>
        <v>6.0000000000000053E-2</v>
      </c>
      <c r="P12" s="40"/>
      <c r="Q12" s="47"/>
      <c r="R12" s="47"/>
      <c r="S12" s="1">
        <v>0.06</v>
      </c>
      <c r="X12" s="1">
        <v>0.03</v>
      </c>
    </row>
    <row r="13" spans="1:24" ht="46.5" customHeight="1">
      <c r="A13" s="41" t="s">
        <v>50</v>
      </c>
      <c r="B13" s="42" t="s">
        <v>51</v>
      </c>
      <c r="C13" s="43">
        <v>1.0871999999999999</v>
      </c>
      <c r="D13" s="44">
        <v>1.21</v>
      </c>
      <c r="E13" s="45">
        <v>1.3328</v>
      </c>
      <c r="F13" s="46" t="s">
        <v>46</v>
      </c>
      <c r="G13" s="97">
        <f>Data!G3</f>
        <v>1.19</v>
      </c>
      <c r="H13" s="97">
        <f t="shared" si="2"/>
        <v>1.23</v>
      </c>
      <c r="I13" s="97">
        <f t="shared" si="3"/>
        <v>1.1499999999999999</v>
      </c>
      <c r="J13" s="98">
        <f t="shared" si="0"/>
        <v>8.0000000000000071E-2</v>
      </c>
      <c r="K13" s="39"/>
      <c r="L13" s="97">
        <f>Data!G4</f>
        <v>1.18</v>
      </c>
      <c r="M13" s="97">
        <f t="shared" si="4"/>
        <v>1.22</v>
      </c>
      <c r="N13" s="97">
        <f t="shared" si="5"/>
        <v>1.1399999999999999</v>
      </c>
      <c r="O13" s="98">
        <f t="shared" si="1"/>
        <v>8.0000000000000071E-2</v>
      </c>
      <c r="P13" s="40"/>
      <c r="Q13" s="47"/>
      <c r="R13" s="47"/>
      <c r="S13" s="1">
        <v>4.0000000000000008E-2</v>
      </c>
      <c r="X13" s="1">
        <v>4.0000000000000008E-2</v>
      </c>
    </row>
    <row r="14" spans="1:24" ht="46.5" customHeight="1">
      <c r="A14" s="33" t="s">
        <v>52</v>
      </c>
      <c r="B14" s="48" t="s">
        <v>53</v>
      </c>
      <c r="C14" s="35">
        <v>1.0668</v>
      </c>
      <c r="D14" s="36">
        <v>1.19</v>
      </c>
      <c r="E14" s="37">
        <v>1.3131999999999999</v>
      </c>
      <c r="F14" s="48" t="s">
        <v>49</v>
      </c>
      <c r="G14" s="97">
        <f>Data!M3</f>
        <v>1.17</v>
      </c>
      <c r="H14" s="97">
        <f t="shared" si="2"/>
        <v>1.23</v>
      </c>
      <c r="I14" s="97">
        <f t="shared" si="3"/>
        <v>1.1099999999999999</v>
      </c>
      <c r="J14" s="98">
        <f t="shared" si="0"/>
        <v>0.12000000000000011</v>
      </c>
      <c r="K14" s="39"/>
      <c r="L14" s="97">
        <f>Data!M4</f>
        <v>1.2</v>
      </c>
      <c r="M14" s="97">
        <f t="shared" si="4"/>
        <v>1.22</v>
      </c>
      <c r="N14" s="97">
        <f t="shared" si="5"/>
        <v>1.18</v>
      </c>
      <c r="O14" s="98">
        <f t="shared" si="1"/>
        <v>4.0000000000000036E-2</v>
      </c>
      <c r="P14" s="40"/>
      <c r="Q14" s="47"/>
      <c r="R14" s="47"/>
      <c r="S14" s="1">
        <v>0.06</v>
      </c>
      <c r="X14" s="1">
        <v>2.0000000000000004E-2</v>
      </c>
    </row>
    <row r="15" spans="1:24" ht="46.5" customHeight="1">
      <c r="A15" s="41" t="s">
        <v>54</v>
      </c>
      <c r="B15" s="42" t="s">
        <v>55</v>
      </c>
      <c r="C15" s="43">
        <v>0.89339999999999997</v>
      </c>
      <c r="D15" s="44">
        <v>1.02</v>
      </c>
      <c r="E15" s="45">
        <v>1.1465999999999998</v>
      </c>
      <c r="F15" s="46" t="s">
        <v>46</v>
      </c>
      <c r="G15" s="97">
        <f>Data!F3</f>
        <v>0.98</v>
      </c>
      <c r="H15" s="97">
        <f t="shared" si="2"/>
        <v>1</v>
      </c>
      <c r="I15" s="97">
        <f t="shared" si="3"/>
        <v>0.96</v>
      </c>
      <c r="J15" s="98">
        <f t="shared" si="0"/>
        <v>4.0000000000000036E-2</v>
      </c>
      <c r="K15" s="39"/>
      <c r="L15" s="97">
        <f>Data!F4</f>
        <v>0.98</v>
      </c>
      <c r="M15" s="97">
        <f t="shared" si="4"/>
        <v>1.04</v>
      </c>
      <c r="N15" s="97">
        <f t="shared" si="5"/>
        <v>0.91999999999999993</v>
      </c>
      <c r="O15" s="98">
        <f t="shared" si="1"/>
        <v>0.12000000000000011</v>
      </c>
      <c r="P15" s="40"/>
      <c r="Q15" s="47"/>
      <c r="R15" s="47"/>
      <c r="S15" s="1">
        <v>2.0000000000000004E-2</v>
      </c>
      <c r="X15" s="1">
        <v>0.06</v>
      </c>
    </row>
    <row r="16" spans="1:24" ht="46.5" customHeight="1">
      <c r="A16" s="33" t="s">
        <v>56</v>
      </c>
      <c r="B16" s="48" t="s">
        <v>57</v>
      </c>
      <c r="C16" s="35">
        <v>1.0157999999999998</v>
      </c>
      <c r="D16" s="36">
        <v>1.1399999999999999</v>
      </c>
      <c r="E16" s="37">
        <v>1.2641999999999998</v>
      </c>
      <c r="F16" s="48" t="s">
        <v>49</v>
      </c>
      <c r="G16" s="97">
        <f>Data!L3</f>
        <v>1.17</v>
      </c>
      <c r="H16" s="97">
        <f t="shared" si="2"/>
        <v>1.18</v>
      </c>
      <c r="I16" s="97">
        <f t="shared" si="3"/>
        <v>1.1599999999999999</v>
      </c>
      <c r="J16" s="98">
        <f t="shared" si="0"/>
        <v>2.0000000000000018E-2</v>
      </c>
      <c r="K16" s="39"/>
      <c r="L16" s="97">
        <f>Data!L4</f>
        <v>1.1399999999999999</v>
      </c>
      <c r="M16" s="97">
        <f t="shared" si="4"/>
        <v>1.1599999999999999</v>
      </c>
      <c r="N16" s="97">
        <f t="shared" si="5"/>
        <v>1.1199999999999999</v>
      </c>
      <c r="O16" s="98">
        <f t="shared" si="1"/>
        <v>4.0000000000000036E-2</v>
      </c>
      <c r="P16" s="40"/>
      <c r="Q16" s="47"/>
      <c r="R16" s="47"/>
      <c r="S16" s="1">
        <v>1.0000000000000002E-2</v>
      </c>
      <c r="X16" s="1">
        <v>2.0000000000000004E-2</v>
      </c>
    </row>
    <row r="17" spans="1:24" ht="46.5" customHeight="1">
      <c r="A17" s="41" t="s">
        <v>58</v>
      </c>
      <c r="B17" s="42" t="s">
        <v>59</v>
      </c>
      <c r="C17" s="43">
        <v>1.2300000000000002</v>
      </c>
      <c r="D17" s="44">
        <v>1.35</v>
      </c>
      <c r="E17" s="45">
        <v>1.47</v>
      </c>
      <c r="F17" s="46" t="s">
        <v>46</v>
      </c>
      <c r="G17" s="97">
        <f>Data!E3</f>
        <v>1.34</v>
      </c>
      <c r="H17" s="97">
        <f t="shared" si="2"/>
        <v>1.37</v>
      </c>
      <c r="I17" s="97">
        <f t="shared" si="3"/>
        <v>1.31</v>
      </c>
      <c r="J17" s="98">
        <f t="shared" si="0"/>
        <v>6.0000000000000053E-2</v>
      </c>
      <c r="K17" s="39"/>
      <c r="L17" s="97">
        <f>Data!E4</f>
        <v>1.32</v>
      </c>
      <c r="M17" s="97">
        <f t="shared" si="4"/>
        <v>1.33</v>
      </c>
      <c r="N17" s="97">
        <f t="shared" si="5"/>
        <v>1.31</v>
      </c>
      <c r="O17" s="98">
        <f t="shared" si="1"/>
        <v>2.0000000000000018E-2</v>
      </c>
      <c r="P17" s="40"/>
      <c r="Q17" s="47"/>
      <c r="R17" s="47"/>
      <c r="S17" s="1">
        <v>0.03</v>
      </c>
      <c r="X17" s="1">
        <v>1.0000000000000002E-2</v>
      </c>
    </row>
    <row r="18" spans="1:24" ht="46.5" customHeight="1">
      <c r="A18" s="33" t="s">
        <v>60</v>
      </c>
      <c r="B18" s="48" t="s">
        <v>61</v>
      </c>
      <c r="C18" s="35">
        <v>1.179</v>
      </c>
      <c r="D18" s="36">
        <v>1.3</v>
      </c>
      <c r="E18" s="37">
        <v>1.421</v>
      </c>
      <c r="F18" s="48" t="s">
        <v>49</v>
      </c>
      <c r="G18" s="97">
        <f>Data!K3</f>
        <v>1.27</v>
      </c>
      <c r="H18" s="97">
        <f t="shared" si="2"/>
        <v>1.31</v>
      </c>
      <c r="I18" s="97">
        <f t="shared" si="3"/>
        <v>1.23</v>
      </c>
      <c r="J18" s="98">
        <f t="shared" si="0"/>
        <v>8.0000000000000071E-2</v>
      </c>
      <c r="K18" s="39"/>
      <c r="L18" s="97">
        <f>Data!K4</f>
        <v>1.28</v>
      </c>
      <c r="M18" s="97">
        <f t="shared" si="4"/>
        <v>1.31</v>
      </c>
      <c r="N18" s="97">
        <f t="shared" si="5"/>
        <v>1.25</v>
      </c>
      <c r="O18" s="98">
        <f t="shared" si="1"/>
        <v>6.0000000000000053E-2</v>
      </c>
      <c r="P18" s="40"/>
      <c r="Q18" s="47"/>
      <c r="R18" s="47"/>
      <c r="S18" s="1">
        <v>4.0000000000000008E-2</v>
      </c>
      <c r="X18" s="1">
        <v>0.03</v>
      </c>
    </row>
    <row r="19" spans="1:24" ht="46.5" customHeight="1">
      <c r="A19" s="41" t="s">
        <v>62</v>
      </c>
      <c r="B19" s="42" t="s">
        <v>63</v>
      </c>
      <c r="C19" s="43">
        <v>1.1688000000000001</v>
      </c>
      <c r="D19" s="44">
        <v>1.29</v>
      </c>
      <c r="E19" s="45">
        <v>1.4112</v>
      </c>
      <c r="F19" s="46" t="s">
        <v>46</v>
      </c>
      <c r="G19" s="97">
        <f>Data!D3</f>
        <v>1.34</v>
      </c>
      <c r="H19" s="97">
        <f t="shared" si="2"/>
        <v>1.36</v>
      </c>
      <c r="I19" s="97">
        <f t="shared" si="3"/>
        <v>1.32</v>
      </c>
      <c r="J19" s="98">
        <f t="shared" si="0"/>
        <v>4.0000000000000036E-2</v>
      </c>
      <c r="K19" s="39"/>
      <c r="L19" s="97">
        <f>Data!D4</f>
        <v>1.31</v>
      </c>
      <c r="M19" s="97">
        <f t="shared" si="4"/>
        <v>1.35</v>
      </c>
      <c r="N19" s="97">
        <f t="shared" si="5"/>
        <v>1.27</v>
      </c>
      <c r="O19" s="98">
        <f t="shared" si="1"/>
        <v>8.0000000000000071E-2</v>
      </c>
      <c r="P19" s="40"/>
      <c r="Q19" s="47"/>
      <c r="R19" s="47"/>
      <c r="S19" s="1">
        <v>2.0000000000000004E-2</v>
      </c>
      <c r="X19" s="1">
        <v>0.04</v>
      </c>
    </row>
    <row r="20" spans="1:24" ht="46.5" customHeight="1">
      <c r="A20" s="33" t="s">
        <v>64</v>
      </c>
      <c r="B20" s="48" t="s">
        <v>65</v>
      </c>
      <c r="C20" s="35">
        <v>1.1178000000000001</v>
      </c>
      <c r="D20" s="36">
        <v>1.24</v>
      </c>
      <c r="E20" s="37">
        <v>1.3621999999999999</v>
      </c>
      <c r="F20" s="48" t="s">
        <v>49</v>
      </c>
      <c r="G20" s="97">
        <f>Data!J3</f>
        <v>1.26</v>
      </c>
      <c r="H20" s="97">
        <f t="shared" si="2"/>
        <v>1.32</v>
      </c>
      <c r="I20" s="97">
        <f t="shared" si="3"/>
        <v>1.2</v>
      </c>
      <c r="J20" s="98">
        <f t="shared" si="0"/>
        <v>0.12000000000000011</v>
      </c>
      <c r="K20" s="39"/>
      <c r="L20" s="97">
        <f>Data!J4</f>
        <v>1.2</v>
      </c>
      <c r="M20" s="97">
        <f t="shared" si="4"/>
        <v>1.23</v>
      </c>
      <c r="N20" s="97">
        <f t="shared" si="5"/>
        <v>1.17</v>
      </c>
      <c r="O20" s="98">
        <f t="shared" si="1"/>
        <v>6.0000000000000053E-2</v>
      </c>
      <c r="P20" s="40"/>
      <c r="Q20" s="47"/>
      <c r="R20" s="47"/>
      <c r="S20" s="1">
        <v>0.06</v>
      </c>
      <c r="X20" s="1">
        <v>0.03</v>
      </c>
    </row>
    <row r="21" spans="1:24" ht="46.5" customHeight="1">
      <c r="A21" s="41" t="s">
        <v>66</v>
      </c>
      <c r="B21" s="42" t="s">
        <v>67</v>
      </c>
      <c r="C21" s="43">
        <v>1.2402000000000002</v>
      </c>
      <c r="D21" s="44">
        <v>1.36</v>
      </c>
      <c r="E21" s="45">
        <v>1.4798</v>
      </c>
      <c r="F21" s="46" t="s">
        <v>46</v>
      </c>
      <c r="G21" s="97">
        <f>Data!C3</f>
        <v>1.34</v>
      </c>
      <c r="H21" s="97">
        <f t="shared" si="2"/>
        <v>1.3900000000000001</v>
      </c>
      <c r="I21" s="97">
        <f t="shared" si="3"/>
        <v>1.29</v>
      </c>
      <c r="J21" s="98">
        <f t="shared" si="0"/>
        <v>0.10000000000000009</v>
      </c>
      <c r="K21" s="39"/>
      <c r="L21" s="97">
        <f>Data!C4</f>
        <v>1.35</v>
      </c>
      <c r="M21" s="97">
        <f t="shared" si="4"/>
        <v>1.4000000000000001</v>
      </c>
      <c r="N21" s="97">
        <f t="shared" si="5"/>
        <v>1.3</v>
      </c>
      <c r="O21" s="98">
        <f t="shared" si="1"/>
        <v>0.10000000000000009</v>
      </c>
      <c r="P21" s="40"/>
      <c r="Q21" s="47"/>
      <c r="R21" s="47"/>
      <c r="S21" s="1">
        <v>0.05</v>
      </c>
      <c r="X21" s="1">
        <v>0.05</v>
      </c>
    </row>
    <row r="22" spans="1:24" ht="46.5" customHeight="1">
      <c r="A22" s="33" t="s">
        <v>68</v>
      </c>
      <c r="B22" s="48" t="s">
        <v>69</v>
      </c>
      <c r="C22" s="35">
        <v>1.0974000000000002</v>
      </c>
      <c r="D22" s="36">
        <v>1.22</v>
      </c>
      <c r="E22" s="37">
        <v>1.3425999999999998</v>
      </c>
      <c r="F22" s="48" t="s">
        <v>49</v>
      </c>
      <c r="G22" s="97">
        <f>Data!I3</f>
        <v>1.19</v>
      </c>
      <c r="H22" s="97">
        <f t="shared" si="2"/>
        <v>1.22</v>
      </c>
      <c r="I22" s="97">
        <f t="shared" si="3"/>
        <v>1.1599999999999999</v>
      </c>
      <c r="J22" s="98">
        <f t="shared" si="0"/>
        <v>6.0000000000000053E-2</v>
      </c>
      <c r="K22" s="39"/>
      <c r="L22" s="97">
        <f>Data!I4</f>
        <v>1.2</v>
      </c>
      <c r="M22" s="97">
        <f t="shared" si="4"/>
        <v>1.26</v>
      </c>
      <c r="N22" s="97">
        <f t="shared" si="5"/>
        <v>1.1399999999999999</v>
      </c>
      <c r="O22" s="98">
        <f t="shared" si="1"/>
        <v>0.12000000000000011</v>
      </c>
      <c r="P22" s="40"/>
      <c r="Q22" s="47"/>
      <c r="R22" s="47"/>
      <c r="S22" s="1">
        <v>0.03</v>
      </c>
      <c r="X22" s="1">
        <v>0.06</v>
      </c>
    </row>
    <row r="23" spans="1:24" ht="46.5" customHeight="1">
      <c r="A23" s="41" t="s">
        <v>70</v>
      </c>
      <c r="B23" s="42" t="s">
        <v>71</v>
      </c>
      <c r="C23" s="43">
        <v>1.1688000000000001</v>
      </c>
      <c r="D23" s="44">
        <v>1.29</v>
      </c>
      <c r="E23" s="45">
        <v>1.4112</v>
      </c>
      <c r="F23" s="46" t="s">
        <v>46</v>
      </c>
      <c r="G23" s="97">
        <f>Data!B3</f>
        <v>1.29</v>
      </c>
      <c r="H23" s="97">
        <f t="shared" si="2"/>
        <v>1.33</v>
      </c>
      <c r="I23" s="97">
        <f t="shared" si="3"/>
        <v>1.25</v>
      </c>
      <c r="J23" s="98">
        <f t="shared" si="0"/>
        <v>8.0000000000000071E-2</v>
      </c>
      <c r="K23" s="39"/>
      <c r="L23" s="97">
        <f>Data!B4</f>
        <v>1.25</v>
      </c>
      <c r="M23" s="97">
        <f t="shared" si="4"/>
        <v>1.29</v>
      </c>
      <c r="N23" s="97">
        <f t="shared" si="5"/>
        <v>1.21</v>
      </c>
      <c r="O23" s="98">
        <f t="shared" si="1"/>
        <v>8.0000000000000071E-2</v>
      </c>
      <c r="P23" s="40"/>
      <c r="Q23" s="47"/>
      <c r="R23" s="47"/>
      <c r="S23" s="1">
        <v>0.04</v>
      </c>
      <c r="X23" s="1">
        <v>4.0000000000000008E-2</v>
      </c>
    </row>
    <row r="24" spans="1:24" ht="46.5" customHeight="1">
      <c r="A24" s="49" t="s">
        <v>72</v>
      </c>
      <c r="B24" s="34" t="s">
        <v>73</v>
      </c>
      <c r="C24" s="35">
        <v>1.3320000000000001</v>
      </c>
      <c r="D24" s="36">
        <v>1.45</v>
      </c>
      <c r="E24" s="37">
        <v>1.5679999999999998</v>
      </c>
      <c r="F24" s="50" t="s">
        <v>74</v>
      </c>
      <c r="G24" s="97">
        <f>Data!P3</f>
        <v>1.42</v>
      </c>
      <c r="H24" s="97">
        <f t="shared" si="2"/>
        <v>1.45</v>
      </c>
      <c r="I24" s="97">
        <f t="shared" si="3"/>
        <v>1.39</v>
      </c>
      <c r="J24" s="98">
        <f t="shared" si="0"/>
        <v>6.0000000000000053E-2</v>
      </c>
      <c r="K24" s="39"/>
      <c r="L24" s="97">
        <f>Data!P4</f>
        <v>1.43</v>
      </c>
      <c r="M24" s="97">
        <f t="shared" si="4"/>
        <v>1.49</v>
      </c>
      <c r="N24" s="97">
        <f t="shared" si="5"/>
        <v>1.3699999999999999</v>
      </c>
      <c r="O24" s="98">
        <f t="shared" si="1"/>
        <v>0.12000000000000011</v>
      </c>
      <c r="P24" s="40"/>
      <c r="Q24" s="47"/>
      <c r="R24" s="47"/>
      <c r="S24" s="1">
        <v>0.03</v>
      </c>
      <c r="X24" s="1">
        <v>0.06</v>
      </c>
    </row>
    <row r="25" spans="1:24" ht="46.5" customHeight="1" thickBot="1">
      <c r="A25" s="51" t="s">
        <v>75</v>
      </c>
      <c r="B25" s="52" t="s">
        <v>76</v>
      </c>
      <c r="C25" s="138" t="s">
        <v>77</v>
      </c>
      <c r="D25" s="138"/>
      <c r="E25" s="138"/>
      <c r="F25" s="53" t="s">
        <v>49</v>
      </c>
      <c r="G25" s="97">
        <f>Data!T3</f>
        <v>2.38</v>
      </c>
      <c r="H25" s="97">
        <f>Data!U3</f>
        <v>2.36</v>
      </c>
      <c r="I25" s="97">
        <f>Data!V3</f>
        <v>2.36</v>
      </c>
      <c r="J25" s="98">
        <f t="shared" si="0"/>
        <v>2.0000000000000018E-2</v>
      </c>
      <c r="K25" s="54"/>
      <c r="L25" s="97">
        <f>Data!T4</f>
        <v>2.38</v>
      </c>
      <c r="M25" s="97">
        <f>Data!U4</f>
        <v>2.36</v>
      </c>
      <c r="N25" s="97">
        <f>Data!V4</f>
        <v>2.36</v>
      </c>
      <c r="O25" s="98">
        <f t="shared" si="1"/>
        <v>2.0000000000000018E-2</v>
      </c>
      <c r="P25" s="55"/>
      <c r="Q25" s="47"/>
      <c r="R25" s="47"/>
    </row>
    <row r="26" spans="1:24" ht="18.75" customHeight="1">
      <c r="A26" s="56"/>
      <c r="B26" s="56"/>
      <c r="C26" s="57"/>
      <c r="D26" s="58"/>
      <c r="E26" s="57"/>
      <c r="F26" s="59"/>
      <c r="G26" s="60"/>
      <c r="H26" s="60"/>
      <c r="I26" s="60"/>
      <c r="J26" s="60"/>
      <c r="K26" s="60"/>
      <c r="L26" s="61"/>
      <c r="M26" s="61"/>
      <c r="N26" s="61"/>
      <c r="O26" s="61"/>
      <c r="P26" s="61"/>
    </row>
    <row r="27" spans="1:24" ht="18.75" customHeight="1">
      <c r="A27" s="56"/>
      <c r="B27" s="56"/>
      <c r="C27" s="57"/>
      <c r="D27" s="58"/>
      <c r="E27" s="57"/>
      <c r="F27" s="59"/>
      <c r="G27" s="60"/>
      <c r="H27" s="60"/>
      <c r="I27" s="60"/>
      <c r="J27" s="60"/>
      <c r="K27" s="60"/>
      <c r="L27" s="61"/>
      <c r="M27" s="61"/>
      <c r="N27" s="61"/>
      <c r="O27" s="61"/>
      <c r="P27" s="61"/>
    </row>
    <row r="28" spans="1:24" ht="18" customHeight="1">
      <c r="A28" s="62"/>
      <c r="B28" s="62"/>
      <c r="C28" s="63"/>
      <c r="D28" s="63"/>
      <c r="E28" s="63"/>
      <c r="F28" s="64"/>
      <c r="G28" s="65"/>
      <c r="H28" s="65"/>
      <c r="I28" s="65"/>
      <c r="J28" s="64"/>
      <c r="K28" s="64"/>
      <c r="L28" s="64"/>
      <c r="M28" s="64"/>
      <c r="N28" s="64"/>
      <c r="O28" s="64"/>
      <c r="P28" s="66"/>
    </row>
    <row r="29" spans="1:24" ht="15.75">
      <c r="A29" s="62"/>
      <c r="B29" s="62"/>
      <c r="C29" s="63"/>
      <c r="D29" s="63"/>
      <c r="E29" s="63"/>
      <c r="F29" s="64"/>
      <c r="G29" s="65"/>
      <c r="H29" s="65"/>
      <c r="I29" s="67"/>
      <c r="J29" s="64"/>
      <c r="K29" s="64"/>
      <c r="L29" s="64"/>
      <c r="M29" s="64"/>
      <c r="N29" s="64"/>
      <c r="O29" s="64"/>
      <c r="P29" s="66"/>
    </row>
    <row r="30" spans="1:24" ht="15.75">
      <c r="A30" s="62"/>
      <c r="B30" s="62"/>
      <c r="C30" s="63"/>
      <c r="D30" s="63"/>
      <c r="E30" s="63"/>
      <c r="F30" s="64"/>
      <c r="G30" s="67"/>
      <c r="H30" s="65"/>
      <c r="I30" s="67"/>
      <c r="J30" s="139"/>
      <c r="K30" s="139"/>
      <c r="L30" s="140"/>
      <c r="M30" s="140"/>
      <c r="N30" s="66"/>
      <c r="O30" s="66"/>
      <c r="P30" s="66"/>
    </row>
    <row r="31" spans="1:24" ht="15.75">
      <c r="A31" s="62"/>
      <c r="B31" s="62"/>
      <c r="C31" s="63"/>
      <c r="D31" s="63"/>
      <c r="E31" s="63"/>
      <c r="F31" s="64"/>
      <c r="G31" s="67"/>
      <c r="H31" s="65"/>
      <c r="I31" s="65"/>
      <c r="J31" s="139"/>
      <c r="K31" s="139"/>
      <c r="L31" s="140"/>
      <c r="M31" s="140"/>
      <c r="N31" s="68"/>
      <c r="O31" s="66"/>
      <c r="P31" s="64"/>
    </row>
  </sheetData>
  <mergeCells count="26">
    <mergeCell ref="C8:E8"/>
    <mergeCell ref="C9:E9"/>
    <mergeCell ref="C25:E25"/>
    <mergeCell ref="J30:M30"/>
    <mergeCell ref="J31:M31"/>
    <mergeCell ref="G6:H6"/>
    <mergeCell ref="I6:K6"/>
    <mergeCell ref="L6:M6"/>
    <mergeCell ref="N6:P6"/>
    <mergeCell ref="A7:F7"/>
    <mergeCell ref="G7:I7"/>
    <mergeCell ref="L7:N7"/>
    <mergeCell ref="I4:J4"/>
    <mergeCell ref="K4:L4"/>
    <mergeCell ref="M4:N4"/>
    <mergeCell ref="O4:P4"/>
    <mergeCell ref="I5:J5"/>
    <mergeCell ref="K5:L5"/>
    <mergeCell ref="M5:N5"/>
    <mergeCell ref="O5:P5"/>
    <mergeCell ref="I3:J3"/>
    <mergeCell ref="A1:E1"/>
    <mergeCell ref="F1:P1"/>
    <mergeCell ref="C2:D2"/>
    <mergeCell ref="I2:J2"/>
    <mergeCell ref="O2:P2"/>
  </mergeCells>
  <printOptions horizontalCentered="1" verticalCentered="1"/>
  <pageMargins left="0" right="0" top="0" bottom="0" header="0" footer="0"/>
  <pageSetup scale="53" fitToWidth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A332-0181-4ED4-96CC-9C7995D6D31E}">
  <dimension ref="A1:CD125"/>
  <sheetViews>
    <sheetView topLeftCell="BN1" workbookViewId="0">
      <selection activeCell="G20" sqref="G20"/>
    </sheetView>
  </sheetViews>
  <sheetFormatPr baseColWidth="10" defaultRowHeight="13.5"/>
  <sheetData>
    <row r="1" spans="1:82">
      <c r="A1" t="s">
        <v>176</v>
      </c>
      <c r="B1" t="s">
        <v>105</v>
      </c>
      <c r="C1" t="s">
        <v>177</v>
      </c>
      <c r="D1" t="s">
        <v>117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193</v>
      </c>
      <c r="U1" t="s">
        <v>194</v>
      </c>
      <c r="V1" t="s">
        <v>195</v>
      </c>
      <c r="W1" t="s">
        <v>196</v>
      </c>
      <c r="X1" t="s">
        <v>197</v>
      </c>
      <c r="Y1" t="s">
        <v>198</v>
      </c>
      <c r="Z1" t="s">
        <v>199</v>
      </c>
      <c r="AA1" t="s">
        <v>200</v>
      </c>
      <c r="AB1" t="s">
        <v>201</v>
      </c>
      <c r="AC1" t="s">
        <v>202</v>
      </c>
      <c r="AD1" t="s">
        <v>203</v>
      </c>
      <c r="AE1" t="s">
        <v>204</v>
      </c>
      <c r="AF1" t="s">
        <v>205</v>
      </c>
      <c r="AG1" t="s">
        <v>206</v>
      </c>
      <c r="AH1" t="s">
        <v>207</v>
      </c>
      <c r="AI1" t="s">
        <v>208</v>
      </c>
      <c r="AJ1" t="s">
        <v>209</v>
      </c>
      <c r="AK1" t="s">
        <v>210</v>
      </c>
      <c r="AL1" t="s">
        <v>211</v>
      </c>
      <c r="AM1" t="s">
        <v>212</v>
      </c>
      <c r="AN1" t="s">
        <v>213</v>
      </c>
      <c r="AO1" t="s">
        <v>214</v>
      </c>
      <c r="AP1" t="s">
        <v>215</v>
      </c>
      <c r="AQ1" t="s">
        <v>216</v>
      </c>
      <c r="AR1" t="s">
        <v>217</v>
      </c>
      <c r="AS1" t="s">
        <v>218</v>
      </c>
      <c r="AT1" t="s">
        <v>219</v>
      </c>
      <c r="AU1" t="s">
        <v>220</v>
      </c>
      <c r="AV1" t="s">
        <v>221</v>
      </c>
      <c r="AW1" t="s">
        <v>222</v>
      </c>
      <c r="AX1" t="s">
        <v>223</v>
      </c>
      <c r="AY1" t="s">
        <v>224</v>
      </c>
      <c r="AZ1" t="s">
        <v>225</v>
      </c>
      <c r="BA1" t="s">
        <v>226</v>
      </c>
      <c r="BB1" t="s">
        <v>227</v>
      </c>
      <c r="BC1" t="s">
        <v>228</v>
      </c>
      <c r="BD1" t="s">
        <v>229</v>
      </c>
      <c r="BE1" t="s">
        <v>230</v>
      </c>
      <c r="BF1" t="s">
        <v>231</v>
      </c>
      <c r="BG1" t="s">
        <v>232</v>
      </c>
      <c r="BH1" t="s">
        <v>233</v>
      </c>
      <c r="BI1" t="s">
        <v>234</v>
      </c>
      <c r="BJ1" t="s">
        <v>235</v>
      </c>
      <c r="BK1" t="s">
        <v>236</v>
      </c>
      <c r="BL1" t="s">
        <v>237</v>
      </c>
      <c r="BM1" t="s">
        <v>238</v>
      </c>
      <c r="BN1" t="s">
        <v>239</v>
      </c>
      <c r="BO1" t="s">
        <v>240</v>
      </c>
      <c r="BP1" t="s">
        <v>241</v>
      </c>
      <c r="BQ1" t="s">
        <v>242</v>
      </c>
      <c r="BR1" t="s">
        <v>243</v>
      </c>
      <c r="BS1" t="s">
        <v>244</v>
      </c>
      <c r="BT1" t="s">
        <v>245</v>
      </c>
      <c r="BU1" t="s">
        <v>246</v>
      </c>
      <c r="BV1" t="s">
        <v>247</v>
      </c>
      <c r="BW1" t="s">
        <v>248</v>
      </c>
      <c r="BX1" t="s">
        <v>249</v>
      </c>
      <c r="BY1" t="s">
        <v>250</v>
      </c>
      <c r="BZ1" t="s">
        <v>251</v>
      </c>
      <c r="CA1" t="s">
        <v>252</v>
      </c>
      <c r="CB1" t="s">
        <v>253</v>
      </c>
      <c r="CC1" t="s">
        <v>254</v>
      </c>
      <c r="CD1" t="s">
        <v>255</v>
      </c>
    </row>
    <row r="2" spans="1:82">
      <c r="A2">
        <v>10433939</v>
      </c>
      <c r="B2" s="95">
        <v>46169</v>
      </c>
      <c r="C2" s="96">
        <v>0.84261574074074075</v>
      </c>
      <c r="D2">
        <v>93.352000000000004</v>
      </c>
      <c r="E2">
        <v>1.79</v>
      </c>
      <c r="F2">
        <v>1.79</v>
      </c>
      <c r="G2">
        <v>1.78</v>
      </c>
      <c r="H2">
        <v>1.93</v>
      </c>
      <c r="I2">
        <v>1.9</v>
      </c>
      <c r="J2">
        <v>1.97</v>
      </c>
      <c r="K2">
        <v>1.21</v>
      </c>
      <c r="L2">
        <v>1.1499999999999999</v>
      </c>
      <c r="M2">
        <v>1.2</v>
      </c>
      <c r="N2">
        <v>1.1599999999999999</v>
      </c>
      <c r="O2">
        <v>1.1299999999999999</v>
      </c>
      <c r="P2">
        <v>1.1499999999999999</v>
      </c>
      <c r="Q2">
        <v>1.1399999999999999</v>
      </c>
      <c r="R2">
        <v>1.1100000000000001</v>
      </c>
      <c r="S2">
        <v>1.1299999999999999</v>
      </c>
      <c r="T2">
        <v>1.23</v>
      </c>
      <c r="U2">
        <v>1.2</v>
      </c>
      <c r="V2">
        <v>1.23</v>
      </c>
      <c r="W2">
        <v>1.01</v>
      </c>
      <c r="X2">
        <v>0.96</v>
      </c>
      <c r="Y2">
        <v>0.95</v>
      </c>
      <c r="Z2">
        <v>1.1299999999999999</v>
      </c>
      <c r="AA2">
        <v>1.1200000000000001</v>
      </c>
      <c r="AB2">
        <v>1.1299999999999999</v>
      </c>
      <c r="AC2">
        <v>1.26</v>
      </c>
      <c r="AD2">
        <v>1.26</v>
      </c>
      <c r="AE2">
        <v>1.2</v>
      </c>
      <c r="AF2">
        <v>1.32</v>
      </c>
      <c r="AG2">
        <v>1.3</v>
      </c>
      <c r="AH2">
        <v>1.35</v>
      </c>
      <c r="AI2">
        <v>1.3</v>
      </c>
      <c r="AJ2">
        <v>1.27</v>
      </c>
      <c r="AK2">
        <v>1.1000000000000001</v>
      </c>
      <c r="AL2">
        <v>1.25</v>
      </c>
      <c r="AM2">
        <v>1.26</v>
      </c>
      <c r="AN2">
        <v>1.29</v>
      </c>
      <c r="AO2">
        <v>1.36</v>
      </c>
      <c r="AP2">
        <v>1.21</v>
      </c>
      <c r="AQ2">
        <v>1.2</v>
      </c>
      <c r="AR2">
        <v>1.26</v>
      </c>
      <c r="AS2">
        <v>1.29</v>
      </c>
      <c r="AT2">
        <v>1.3</v>
      </c>
      <c r="AU2">
        <v>1.36</v>
      </c>
      <c r="AV2">
        <v>1.33</v>
      </c>
      <c r="AW2">
        <v>1.26</v>
      </c>
      <c r="BY2">
        <v>1.52</v>
      </c>
      <c r="BZ2">
        <v>1.46</v>
      </c>
      <c r="CA2">
        <v>1.5</v>
      </c>
      <c r="CB2">
        <v>2.38</v>
      </c>
      <c r="CC2">
        <v>2.4</v>
      </c>
      <c r="CD2">
        <v>2.36</v>
      </c>
    </row>
    <row r="3" spans="1:82">
      <c r="A3">
        <v>10433939</v>
      </c>
      <c r="B3" s="95">
        <v>46169</v>
      </c>
      <c r="C3" s="96">
        <v>0.84394675925925922</v>
      </c>
      <c r="D3">
        <v>93.35</v>
      </c>
      <c r="E3">
        <v>1.79</v>
      </c>
      <c r="F3">
        <v>1.8</v>
      </c>
      <c r="G3">
        <v>1.8</v>
      </c>
      <c r="H3">
        <v>1.94</v>
      </c>
      <c r="I3">
        <v>1.92</v>
      </c>
      <c r="J3">
        <v>1.96</v>
      </c>
      <c r="K3">
        <v>1.26</v>
      </c>
      <c r="L3">
        <v>1.3</v>
      </c>
      <c r="M3">
        <v>1.29</v>
      </c>
      <c r="N3">
        <v>1.1599999999999999</v>
      </c>
      <c r="O3">
        <v>1.1299999999999999</v>
      </c>
      <c r="P3">
        <v>1.1499999999999999</v>
      </c>
      <c r="Q3">
        <v>1.1399999999999999</v>
      </c>
      <c r="R3">
        <v>1.1200000000000001</v>
      </c>
      <c r="S3">
        <v>1.1299999999999999</v>
      </c>
      <c r="T3">
        <v>1.23</v>
      </c>
      <c r="U3">
        <v>1.2</v>
      </c>
      <c r="V3">
        <v>1.23</v>
      </c>
      <c r="W3">
        <v>1</v>
      </c>
      <c r="X3">
        <v>0.97</v>
      </c>
      <c r="Y3">
        <v>1</v>
      </c>
      <c r="Z3">
        <v>1.1299999999999999</v>
      </c>
      <c r="AA3">
        <v>1.1200000000000001</v>
      </c>
      <c r="AB3">
        <v>1.1399999999999999</v>
      </c>
      <c r="AC3">
        <v>1.28</v>
      </c>
      <c r="AD3">
        <v>1.29</v>
      </c>
      <c r="AE3">
        <v>1.3</v>
      </c>
      <c r="AF3">
        <v>1.32</v>
      </c>
      <c r="AG3">
        <v>1.3</v>
      </c>
      <c r="AH3">
        <v>1.35</v>
      </c>
      <c r="AI3">
        <v>1.36</v>
      </c>
      <c r="AJ3">
        <v>1.3</v>
      </c>
      <c r="AK3">
        <v>1.32</v>
      </c>
      <c r="AL3">
        <v>1.26</v>
      </c>
      <c r="AM3">
        <v>1.25</v>
      </c>
      <c r="AN3">
        <v>1.29</v>
      </c>
      <c r="AO3">
        <v>1.4</v>
      </c>
      <c r="AP3">
        <v>1.38</v>
      </c>
      <c r="AQ3">
        <v>1.39</v>
      </c>
      <c r="AR3">
        <v>1.26</v>
      </c>
      <c r="AS3">
        <v>1.29</v>
      </c>
      <c r="AT3">
        <v>1.3</v>
      </c>
      <c r="AU3">
        <v>1.34</v>
      </c>
      <c r="AV3">
        <v>1.32</v>
      </c>
      <c r="AW3">
        <v>1.27</v>
      </c>
      <c r="BY3">
        <v>1.52</v>
      </c>
      <c r="BZ3">
        <v>1.46</v>
      </c>
      <c r="CA3">
        <v>1.5</v>
      </c>
      <c r="CB3">
        <v>2.36</v>
      </c>
      <c r="CC3">
        <v>2.4</v>
      </c>
      <c r="CD3">
        <v>2.37</v>
      </c>
    </row>
    <row r="4" spans="1:82">
      <c r="A4">
        <v>10433939</v>
      </c>
      <c r="B4" s="95">
        <v>46169</v>
      </c>
      <c r="C4" s="96">
        <v>0.85715277777777776</v>
      </c>
      <c r="D4">
        <v>92.697000000000003</v>
      </c>
      <c r="E4">
        <v>1.82</v>
      </c>
      <c r="F4">
        <v>1.91</v>
      </c>
      <c r="G4">
        <v>1.89</v>
      </c>
      <c r="H4">
        <v>1.92</v>
      </c>
      <c r="I4">
        <v>1.89</v>
      </c>
      <c r="J4">
        <v>1.91</v>
      </c>
      <c r="K4">
        <v>1.33</v>
      </c>
      <c r="L4">
        <v>1.25</v>
      </c>
      <c r="M4">
        <v>1.33</v>
      </c>
      <c r="N4">
        <v>1.1599999999999999</v>
      </c>
      <c r="O4">
        <v>1.1399999999999999</v>
      </c>
      <c r="P4">
        <v>1.1599999999999999</v>
      </c>
      <c r="Q4">
        <v>1.1499999999999999</v>
      </c>
      <c r="R4">
        <v>1.08</v>
      </c>
      <c r="S4">
        <v>1.1599999999999999</v>
      </c>
      <c r="T4">
        <v>1.2</v>
      </c>
      <c r="U4">
        <v>1.19</v>
      </c>
      <c r="V4">
        <v>1.22</v>
      </c>
      <c r="W4">
        <v>1.06</v>
      </c>
      <c r="X4">
        <v>0.96</v>
      </c>
      <c r="Y4">
        <v>0.99</v>
      </c>
      <c r="Z4">
        <v>1.1299999999999999</v>
      </c>
      <c r="AA4">
        <v>1.1200000000000001</v>
      </c>
      <c r="AB4">
        <v>1.1399999999999999</v>
      </c>
      <c r="AC4">
        <v>1.32</v>
      </c>
      <c r="AD4">
        <v>1.29</v>
      </c>
      <c r="AE4">
        <v>1.26</v>
      </c>
      <c r="AF4">
        <v>1.29</v>
      </c>
      <c r="AG4">
        <v>1.3</v>
      </c>
      <c r="AH4">
        <v>1.31</v>
      </c>
      <c r="AI4">
        <v>1.36</v>
      </c>
      <c r="AJ4">
        <v>1.24</v>
      </c>
      <c r="AK4">
        <v>1.2</v>
      </c>
      <c r="AL4">
        <v>1.22</v>
      </c>
      <c r="AM4">
        <v>1.22</v>
      </c>
      <c r="AN4">
        <v>1.26</v>
      </c>
      <c r="AO4">
        <v>1.33</v>
      </c>
      <c r="AP4">
        <v>1.1599999999999999</v>
      </c>
      <c r="AQ4">
        <v>1.19</v>
      </c>
      <c r="AR4">
        <v>1.19</v>
      </c>
      <c r="AS4">
        <v>1.2</v>
      </c>
      <c r="AT4">
        <v>1.24</v>
      </c>
      <c r="AU4">
        <v>1.17</v>
      </c>
      <c r="AV4">
        <v>1.1299999999999999</v>
      </c>
      <c r="AW4">
        <v>1.1499999999999999</v>
      </c>
      <c r="BY4">
        <v>1.44</v>
      </c>
      <c r="BZ4">
        <v>1.31</v>
      </c>
      <c r="CA4">
        <v>1.45</v>
      </c>
      <c r="CB4">
        <v>2.31</v>
      </c>
      <c r="CC4">
        <v>2.27</v>
      </c>
      <c r="CD4">
        <v>2.2999999999999998</v>
      </c>
    </row>
    <row r="5" spans="1:82">
      <c r="A5">
        <v>10433939</v>
      </c>
      <c r="B5" s="95">
        <v>46169</v>
      </c>
      <c r="C5" s="96">
        <v>0.8591550925925926</v>
      </c>
      <c r="D5">
        <v>92.814999999999998</v>
      </c>
      <c r="E5">
        <v>1.86</v>
      </c>
      <c r="F5">
        <v>1.87</v>
      </c>
      <c r="G5">
        <v>1.88</v>
      </c>
      <c r="H5">
        <v>1.9</v>
      </c>
      <c r="I5">
        <v>1.89</v>
      </c>
      <c r="J5">
        <v>1.9</v>
      </c>
      <c r="K5">
        <v>1.29</v>
      </c>
      <c r="L5">
        <v>1.31</v>
      </c>
      <c r="M5">
        <v>1.29</v>
      </c>
      <c r="N5">
        <v>1.18</v>
      </c>
      <c r="O5">
        <v>1.1599999999999999</v>
      </c>
      <c r="P5">
        <v>1.17</v>
      </c>
      <c r="Q5">
        <v>1.17</v>
      </c>
      <c r="R5">
        <v>1.1399999999999999</v>
      </c>
      <c r="S5">
        <v>1.19</v>
      </c>
      <c r="T5">
        <v>1.1599999999999999</v>
      </c>
      <c r="U5">
        <v>1.2</v>
      </c>
      <c r="V5">
        <v>1.21</v>
      </c>
      <c r="W5">
        <v>1.05</v>
      </c>
      <c r="X5">
        <v>1</v>
      </c>
      <c r="Y5">
        <v>0.98</v>
      </c>
      <c r="Z5">
        <v>1.1599999999999999</v>
      </c>
      <c r="AA5">
        <v>1.1100000000000001</v>
      </c>
      <c r="AB5">
        <v>1.1000000000000001</v>
      </c>
      <c r="AC5">
        <v>1.29</v>
      </c>
      <c r="AD5">
        <v>1.26</v>
      </c>
      <c r="AE5">
        <v>1.25</v>
      </c>
      <c r="AF5">
        <v>1.31</v>
      </c>
      <c r="AG5">
        <v>1.29</v>
      </c>
      <c r="AH5">
        <v>1.28</v>
      </c>
      <c r="AI5">
        <v>1.32</v>
      </c>
      <c r="AJ5">
        <v>1.26</v>
      </c>
      <c r="AK5">
        <v>1.24</v>
      </c>
      <c r="AL5">
        <v>1.26</v>
      </c>
      <c r="AM5">
        <v>1.25</v>
      </c>
      <c r="AN5">
        <v>1.28</v>
      </c>
      <c r="AO5">
        <v>1.36</v>
      </c>
      <c r="AP5">
        <v>1.34</v>
      </c>
      <c r="AQ5">
        <v>1.3</v>
      </c>
      <c r="AR5">
        <v>1.26</v>
      </c>
      <c r="AS5">
        <v>1.27</v>
      </c>
      <c r="AT5">
        <v>1.29</v>
      </c>
      <c r="AU5">
        <v>1.35</v>
      </c>
      <c r="AV5">
        <v>1.32</v>
      </c>
      <c r="AW5">
        <v>1.31</v>
      </c>
      <c r="BY5">
        <v>1.5</v>
      </c>
      <c r="BZ5">
        <v>1.46</v>
      </c>
      <c r="CA5">
        <v>1.43</v>
      </c>
      <c r="CB5">
        <v>2.4</v>
      </c>
      <c r="CC5">
        <v>2.38</v>
      </c>
      <c r="CD5">
        <v>2.3199999999999998</v>
      </c>
    </row>
    <row r="6" spans="1:82">
      <c r="A6">
        <v>10433939</v>
      </c>
      <c r="B6" s="95">
        <v>46169</v>
      </c>
      <c r="C6" s="96">
        <v>0.86054398148148148</v>
      </c>
      <c r="D6">
        <v>93.447000000000003</v>
      </c>
      <c r="E6">
        <v>1.96</v>
      </c>
      <c r="F6">
        <v>1.87</v>
      </c>
      <c r="G6">
        <v>1.86</v>
      </c>
      <c r="H6">
        <v>1.95</v>
      </c>
      <c r="I6">
        <v>1.9</v>
      </c>
      <c r="J6">
        <v>1.89</v>
      </c>
      <c r="K6">
        <v>1.28</v>
      </c>
      <c r="L6">
        <v>1.26</v>
      </c>
      <c r="M6">
        <v>1.25</v>
      </c>
      <c r="N6">
        <v>1.1399999999999999</v>
      </c>
      <c r="O6">
        <v>1.1200000000000001</v>
      </c>
      <c r="P6">
        <v>1.1399999999999999</v>
      </c>
      <c r="Q6">
        <v>1.1599999999999999</v>
      </c>
      <c r="R6">
        <v>1.1599999999999999</v>
      </c>
      <c r="S6">
        <v>1.18</v>
      </c>
      <c r="T6">
        <v>1.22</v>
      </c>
      <c r="U6">
        <v>1.19</v>
      </c>
      <c r="V6">
        <v>1.22</v>
      </c>
      <c r="W6">
        <v>1.02</v>
      </c>
      <c r="X6">
        <v>0.95</v>
      </c>
      <c r="Y6">
        <v>0.99</v>
      </c>
      <c r="Z6">
        <v>1.1200000000000001</v>
      </c>
      <c r="AA6">
        <v>1.1000000000000001</v>
      </c>
      <c r="AB6">
        <v>1.1299999999999999</v>
      </c>
      <c r="AC6">
        <v>1.32</v>
      </c>
      <c r="AD6">
        <v>1.26</v>
      </c>
      <c r="AE6">
        <v>1.28</v>
      </c>
      <c r="AF6">
        <v>1.3</v>
      </c>
      <c r="AG6">
        <v>1.32</v>
      </c>
      <c r="AH6">
        <v>1.29</v>
      </c>
      <c r="AI6">
        <v>1.2</v>
      </c>
      <c r="AJ6">
        <v>1.26</v>
      </c>
      <c r="AK6">
        <v>1.27</v>
      </c>
      <c r="AL6">
        <v>1.25</v>
      </c>
      <c r="AM6">
        <v>1.33</v>
      </c>
      <c r="AN6">
        <v>1.3</v>
      </c>
      <c r="AO6">
        <v>1.36</v>
      </c>
      <c r="AP6">
        <v>1.35</v>
      </c>
      <c r="AQ6">
        <v>1.31</v>
      </c>
      <c r="AR6">
        <v>1.3</v>
      </c>
      <c r="AS6">
        <v>1.31</v>
      </c>
      <c r="AT6">
        <v>1.31</v>
      </c>
      <c r="AU6">
        <v>1.35</v>
      </c>
      <c r="AV6">
        <v>1.3</v>
      </c>
      <c r="AW6">
        <v>1.36</v>
      </c>
      <c r="BY6">
        <v>1.51</v>
      </c>
      <c r="BZ6">
        <v>1.49</v>
      </c>
      <c r="CA6">
        <v>1.42</v>
      </c>
      <c r="CB6">
        <v>2.4</v>
      </c>
      <c r="CC6">
        <v>2.36</v>
      </c>
      <c r="CD6">
        <v>2.38</v>
      </c>
    </row>
    <row r="7" spans="1:82">
      <c r="A7">
        <v>10433939</v>
      </c>
      <c r="B7" s="95">
        <v>46169</v>
      </c>
      <c r="C7" s="96">
        <v>0.8616435185185185</v>
      </c>
      <c r="D7">
        <v>93.45</v>
      </c>
      <c r="E7">
        <v>1.93</v>
      </c>
      <c r="F7">
        <v>1.89</v>
      </c>
      <c r="G7">
        <v>1.9</v>
      </c>
      <c r="H7">
        <v>1.96</v>
      </c>
      <c r="I7">
        <v>1.92</v>
      </c>
      <c r="J7">
        <v>1.9</v>
      </c>
      <c r="K7">
        <v>1.3</v>
      </c>
      <c r="L7">
        <v>1.29</v>
      </c>
      <c r="M7">
        <v>1.21</v>
      </c>
      <c r="N7">
        <v>1.1599999999999999</v>
      </c>
      <c r="O7">
        <v>1.1000000000000001</v>
      </c>
      <c r="P7">
        <v>1.1299999999999999</v>
      </c>
      <c r="Q7">
        <v>1.17</v>
      </c>
      <c r="R7">
        <v>1.19</v>
      </c>
      <c r="S7">
        <v>1.2</v>
      </c>
      <c r="T7">
        <v>1.1599999999999999</v>
      </c>
      <c r="U7">
        <v>1.18</v>
      </c>
      <c r="V7">
        <v>1.19</v>
      </c>
      <c r="W7">
        <v>1.06</v>
      </c>
      <c r="X7">
        <v>0.97</v>
      </c>
      <c r="Y7">
        <v>1</v>
      </c>
      <c r="Z7">
        <v>1.1599999999999999</v>
      </c>
      <c r="AA7">
        <v>1.1499999999999999</v>
      </c>
      <c r="AB7">
        <v>1.1599999999999999</v>
      </c>
      <c r="AC7">
        <v>1.31</v>
      </c>
      <c r="AD7">
        <v>1.29</v>
      </c>
      <c r="AE7">
        <v>1.39</v>
      </c>
      <c r="AF7">
        <v>1.29</v>
      </c>
      <c r="AG7">
        <v>1.3</v>
      </c>
      <c r="AH7">
        <v>1.29</v>
      </c>
      <c r="AI7">
        <v>1.26</v>
      </c>
      <c r="AJ7">
        <v>1.28</v>
      </c>
      <c r="AK7">
        <v>1.29</v>
      </c>
      <c r="AL7">
        <v>1.27</v>
      </c>
      <c r="AM7">
        <v>1.3</v>
      </c>
      <c r="AN7">
        <v>1.29</v>
      </c>
      <c r="AO7">
        <v>1.34</v>
      </c>
      <c r="AP7">
        <v>1.37</v>
      </c>
      <c r="AQ7">
        <v>1.35</v>
      </c>
      <c r="AR7">
        <v>1.29</v>
      </c>
      <c r="AS7">
        <v>1.28</v>
      </c>
      <c r="AT7">
        <v>1.29</v>
      </c>
      <c r="AU7">
        <v>1.32</v>
      </c>
      <c r="AV7">
        <v>1.32</v>
      </c>
      <c r="AW7">
        <v>1.34</v>
      </c>
      <c r="BY7">
        <v>1.5</v>
      </c>
      <c r="BZ7">
        <v>1.46</v>
      </c>
      <c r="CA7">
        <v>1.44</v>
      </c>
      <c r="CB7">
        <v>2.41</v>
      </c>
      <c r="CC7">
        <v>2.38</v>
      </c>
      <c r="CD7">
        <v>2.36</v>
      </c>
    </row>
    <row r="8" spans="1:82">
      <c r="A8">
        <v>10433939</v>
      </c>
      <c r="B8" s="95">
        <v>46171</v>
      </c>
      <c r="C8" s="96">
        <v>0.7093518518518519</v>
      </c>
      <c r="D8">
        <v>94.06</v>
      </c>
      <c r="E8">
        <v>1.83</v>
      </c>
      <c r="F8">
        <v>1.8</v>
      </c>
      <c r="G8">
        <v>1.92</v>
      </c>
      <c r="H8">
        <v>1.94</v>
      </c>
      <c r="I8">
        <v>1.9</v>
      </c>
      <c r="J8">
        <v>1.93</v>
      </c>
      <c r="K8">
        <v>1.38</v>
      </c>
      <c r="L8">
        <v>1.34</v>
      </c>
      <c r="M8">
        <v>1.35</v>
      </c>
      <c r="N8">
        <v>1.17</v>
      </c>
      <c r="O8">
        <v>1.17</v>
      </c>
      <c r="P8">
        <v>1.1499999999999999</v>
      </c>
      <c r="Q8">
        <v>1.29</v>
      </c>
      <c r="R8">
        <v>1.21</v>
      </c>
      <c r="S8">
        <v>1.22</v>
      </c>
      <c r="T8">
        <v>1.18</v>
      </c>
      <c r="U8">
        <v>1.17</v>
      </c>
      <c r="V8">
        <v>1.1599999999999999</v>
      </c>
      <c r="W8">
        <v>1</v>
      </c>
      <c r="X8">
        <v>0.97</v>
      </c>
      <c r="Y8">
        <v>0.96</v>
      </c>
      <c r="Z8">
        <v>1.1499999999999999</v>
      </c>
      <c r="AA8">
        <v>1.1100000000000001</v>
      </c>
      <c r="AB8">
        <v>1.0900000000000001</v>
      </c>
      <c r="AC8">
        <v>1.35</v>
      </c>
      <c r="AD8">
        <v>1.33</v>
      </c>
      <c r="AE8">
        <v>1.32</v>
      </c>
      <c r="AF8">
        <v>1.24</v>
      </c>
      <c r="AG8">
        <v>1.23</v>
      </c>
      <c r="AH8">
        <v>1.24</v>
      </c>
      <c r="AI8">
        <v>1.34</v>
      </c>
      <c r="AJ8">
        <v>1.29</v>
      </c>
      <c r="AK8">
        <v>1.2</v>
      </c>
      <c r="AL8">
        <v>1.21</v>
      </c>
      <c r="AM8">
        <v>1.2</v>
      </c>
      <c r="AN8">
        <v>1.18</v>
      </c>
      <c r="AO8">
        <v>1.38</v>
      </c>
      <c r="AP8">
        <v>1.37</v>
      </c>
      <c r="AQ8">
        <v>1.29</v>
      </c>
      <c r="AR8">
        <v>1.18</v>
      </c>
      <c r="AS8">
        <v>1.19</v>
      </c>
      <c r="AT8">
        <v>1.2</v>
      </c>
      <c r="AU8">
        <v>1.35</v>
      </c>
      <c r="AV8">
        <v>1.33</v>
      </c>
      <c r="AW8">
        <v>1.28</v>
      </c>
      <c r="BY8">
        <v>1.49</v>
      </c>
      <c r="BZ8">
        <v>1.48</v>
      </c>
      <c r="CA8">
        <v>1.43</v>
      </c>
      <c r="CB8">
        <v>2.3199999999999998</v>
      </c>
      <c r="CC8">
        <v>2.33</v>
      </c>
      <c r="CD8">
        <v>2.2999999999999998</v>
      </c>
    </row>
    <row r="9" spans="1:82">
      <c r="A9">
        <v>10433939</v>
      </c>
      <c r="B9" s="95">
        <v>46171</v>
      </c>
      <c r="C9" s="96">
        <v>0.71059027777777772</v>
      </c>
      <c r="D9">
        <v>94.06</v>
      </c>
      <c r="E9">
        <v>1.83</v>
      </c>
      <c r="F9">
        <v>1.8</v>
      </c>
      <c r="G9">
        <v>1.92</v>
      </c>
      <c r="H9">
        <v>1.94</v>
      </c>
      <c r="I9">
        <v>1.9</v>
      </c>
      <c r="J9">
        <v>1.93</v>
      </c>
      <c r="K9">
        <v>1.38</v>
      </c>
      <c r="L9">
        <v>1.34</v>
      </c>
      <c r="M9">
        <v>1.35</v>
      </c>
      <c r="N9">
        <v>1.17</v>
      </c>
      <c r="O9">
        <v>1.19</v>
      </c>
      <c r="P9">
        <v>1.1499999999999999</v>
      </c>
      <c r="Q9">
        <v>1.29</v>
      </c>
      <c r="R9">
        <v>1.21</v>
      </c>
      <c r="S9">
        <v>1.22</v>
      </c>
      <c r="T9">
        <v>1.18</v>
      </c>
      <c r="U9">
        <v>1.17</v>
      </c>
      <c r="V9">
        <v>1.1599999999999999</v>
      </c>
      <c r="W9">
        <v>1</v>
      </c>
      <c r="X9">
        <v>0.97</v>
      </c>
      <c r="Y9">
        <v>0.96</v>
      </c>
      <c r="Z9">
        <v>1.1499999999999999</v>
      </c>
      <c r="AA9">
        <v>1.1100000000000001</v>
      </c>
      <c r="AB9">
        <v>1.0900000000000001</v>
      </c>
      <c r="AC9">
        <v>1.35</v>
      </c>
      <c r="AD9">
        <v>1.33</v>
      </c>
      <c r="AE9">
        <v>1.32</v>
      </c>
      <c r="AF9">
        <v>1.24</v>
      </c>
      <c r="AG9">
        <v>1.23</v>
      </c>
      <c r="AH9">
        <v>1.24</v>
      </c>
      <c r="AI9">
        <v>1.34</v>
      </c>
      <c r="AJ9">
        <v>1.29</v>
      </c>
      <c r="AK9">
        <v>1.2</v>
      </c>
      <c r="AL9">
        <v>1.21</v>
      </c>
      <c r="AM9">
        <v>1.2</v>
      </c>
      <c r="AN9">
        <v>1.18</v>
      </c>
      <c r="AO9">
        <v>1.38</v>
      </c>
      <c r="AP9">
        <v>1.37</v>
      </c>
      <c r="AQ9">
        <v>1.29</v>
      </c>
      <c r="AR9">
        <v>1.18</v>
      </c>
      <c r="AS9">
        <v>1.19</v>
      </c>
      <c r="AT9">
        <v>1.2</v>
      </c>
      <c r="AU9">
        <v>1.35</v>
      </c>
      <c r="AV9">
        <v>1.33</v>
      </c>
      <c r="AW9">
        <v>1.28</v>
      </c>
      <c r="BY9">
        <v>1.49</v>
      </c>
      <c r="BZ9">
        <v>1.48</v>
      </c>
      <c r="CA9">
        <v>1.43</v>
      </c>
      <c r="CB9">
        <v>2.3199999999999998</v>
      </c>
      <c r="CC9">
        <v>2.33</v>
      </c>
      <c r="CD9">
        <v>2.2999999999999998</v>
      </c>
    </row>
    <row r="10" spans="1:82">
      <c r="A10">
        <v>10433939</v>
      </c>
      <c r="B10" s="95">
        <v>46171</v>
      </c>
      <c r="C10" s="96">
        <v>0.71184027777777781</v>
      </c>
      <c r="D10">
        <v>94.299000000000007</v>
      </c>
      <c r="E10">
        <v>1.84</v>
      </c>
      <c r="F10">
        <v>1.81</v>
      </c>
      <c r="G10">
        <v>1.93</v>
      </c>
      <c r="H10">
        <v>1.95</v>
      </c>
      <c r="I10">
        <v>1.92</v>
      </c>
      <c r="J10">
        <v>1.93</v>
      </c>
      <c r="K10">
        <v>1.39</v>
      </c>
      <c r="L10">
        <v>1.36</v>
      </c>
      <c r="M10">
        <v>1.35</v>
      </c>
      <c r="N10">
        <v>1.19</v>
      </c>
      <c r="O10">
        <v>1.2</v>
      </c>
      <c r="P10">
        <v>1.17</v>
      </c>
      <c r="Q10">
        <v>1.28</v>
      </c>
      <c r="R10">
        <v>1.23</v>
      </c>
      <c r="S10">
        <v>1.21</v>
      </c>
      <c r="T10">
        <v>1.19</v>
      </c>
      <c r="U10">
        <v>1.18</v>
      </c>
      <c r="V10">
        <v>1.19</v>
      </c>
      <c r="W10">
        <v>1.02</v>
      </c>
      <c r="X10">
        <v>0.99</v>
      </c>
      <c r="Y10">
        <v>0.98</v>
      </c>
      <c r="Z10">
        <v>1.17</v>
      </c>
      <c r="AA10">
        <v>1.1200000000000001</v>
      </c>
      <c r="AB10">
        <v>1.1000000000000001</v>
      </c>
      <c r="AC10">
        <v>1.37</v>
      </c>
      <c r="AD10">
        <v>1.34</v>
      </c>
      <c r="AE10">
        <v>1.33</v>
      </c>
      <c r="AF10">
        <v>1.26</v>
      </c>
      <c r="AG10">
        <v>1.25</v>
      </c>
      <c r="AH10">
        <v>1.26</v>
      </c>
      <c r="AI10">
        <v>1.35</v>
      </c>
      <c r="AJ10">
        <v>1.29</v>
      </c>
      <c r="AK10">
        <v>1.21</v>
      </c>
      <c r="AL10">
        <v>1.23</v>
      </c>
      <c r="AM10">
        <v>1.22</v>
      </c>
      <c r="AN10">
        <v>1.19</v>
      </c>
      <c r="AO10">
        <v>1.38</v>
      </c>
      <c r="AP10">
        <v>1.36</v>
      </c>
      <c r="AQ10">
        <v>1.3</v>
      </c>
      <c r="AR10">
        <v>1.2</v>
      </c>
      <c r="AS10">
        <v>1.22</v>
      </c>
      <c r="AT10">
        <v>1.21</v>
      </c>
      <c r="AU10">
        <v>1.35</v>
      </c>
      <c r="AV10">
        <v>1.33</v>
      </c>
      <c r="AW10">
        <v>1.29</v>
      </c>
      <c r="BY10">
        <v>1.48</v>
      </c>
      <c r="BZ10">
        <v>1.49</v>
      </c>
      <c r="CA10">
        <v>1.45</v>
      </c>
      <c r="CB10">
        <v>2.33</v>
      </c>
      <c r="CC10">
        <v>2.3199999999999998</v>
      </c>
      <c r="CD10">
        <v>2.31</v>
      </c>
    </row>
    <row r="11" spans="1:82">
      <c r="A11">
        <v>10433939</v>
      </c>
      <c r="B11" s="95">
        <v>46171</v>
      </c>
      <c r="C11" s="96">
        <v>0.81918981481481479</v>
      </c>
      <c r="D11">
        <v>93.978999999999999</v>
      </c>
      <c r="E11">
        <v>1.82</v>
      </c>
      <c r="F11">
        <v>1.84</v>
      </c>
      <c r="G11">
        <v>1.86</v>
      </c>
      <c r="H11">
        <v>1.91</v>
      </c>
      <c r="I11">
        <v>1.93</v>
      </c>
      <c r="J11">
        <v>1.92</v>
      </c>
      <c r="K11">
        <v>1.34</v>
      </c>
      <c r="L11">
        <v>1.34</v>
      </c>
      <c r="M11">
        <v>1.38</v>
      </c>
      <c r="N11">
        <v>1.17</v>
      </c>
      <c r="O11">
        <v>1.1599999999999999</v>
      </c>
      <c r="P11">
        <v>1.1599999999999999</v>
      </c>
      <c r="Q11">
        <v>1.26</v>
      </c>
      <c r="R11">
        <v>1.21</v>
      </c>
      <c r="S11">
        <v>1.26</v>
      </c>
      <c r="T11">
        <v>1.18</v>
      </c>
      <c r="U11">
        <v>1.1599999999999999</v>
      </c>
      <c r="V11">
        <v>1.18</v>
      </c>
      <c r="W11">
        <v>1</v>
      </c>
      <c r="X11">
        <v>0.97</v>
      </c>
      <c r="Y11">
        <v>0.98</v>
      </c>
      <c r="Z11">
        <v>1.1000000000000001</v>
      </c>
      <c r="AA11">
        <v>1.1100000000000001</v>
      </c>
      <c r="AB11">
        <v>1.1000000000000001</v>
      </c>
      <c r="AC11">
        <v>1.36</v>
      </c>
      <c r="AD11">
        <v>1.3</v>
      </c>
      <c r="AE11">
        <v>1.36</v>
      </c>
      <c r="AF11">
        <v>1.25</v>
      </c>
      <c r="AG11">
        <v>1.25</v>
      </c>
      <c r="AH11">
        <v>1.24</v>
      </c>
      <c r="AI11">
        <v>1.36</v>
      </c>
      <c r="AJ11">
        <v>1.38</v>
      </c>
      <c r="AK11">
        <v>1.28</v>
      </c>
      <c r="AL11">
        <v>1.21</v>
      </c>
      <c r="AM11">
        <v>1.19</v>
      </c>
      <c r="AN11">
        <v>1.19</v>
      </c>
      <c r="AO11">
        <v>1.31</v>
      </c>
      <c r="AP11">
        <v>1.29</v>
      </c>
      <c r="AQ11">
        <v>1.28</v>
      </c>
      <c r="AR11">
        <v>1.17</v>
      </c>
      <c r="AS11">
        <v>1.19</v>
      </c>
      <c r="AT11">
        <v>1.2</v>
      </c>
      <c r="AU11">
        <v>1.39</v>
      </c>
      <c r="AV11">
        <v>1.32</v>
      </c>
      <c r="AW11">
        <v>1.29</v>
      </c>
      <c r="BY11">
        <v>1.52</v>
      </c>
      <c r="BZ11">
        <v>1.52</v>
      </c>
      <c r="CA11">
        <v>1.4</v>
      </c>
      <c r="CB11">
        <v>2.35</v>
      </c>
      <c r="CC11">
        <v>2.38</v>
      </c>
      <c r="CD11">
        <v>2.34</v>
      </c>
    </row>
    <row r="12" spans="1:82">
      <c r="A12">
        <v>10433939</v>
      </c>
      <c r="B12" s="95">
        <v>46171</v>
      </c>
      <c r="C12" s="96">
        <v>0.82027777777777777</v>
      </c>
      <c r="D12">
        <v>94.013000000000005</v>
      </c>
      <c r="E12">
        <v>1.81</v>
      </c>
      <c r="F12">
        <v>1.86</v>
      </c>
      <c r="G12">
        <v>1.84</v>
      </c>
      <c r="H12">
        <v>1.9</v>
      </c>
      <c r="I12">
        <v>1.91</v>
      </c>
      <c r="J12">
        <v>1.92</v>
      </c>
      <c r="K12">
        <v>1.36</v>
      </c>
      <c r="L12">
        <v>1.32</v>
      </c>
      <c r="M12">
        <v>1.36</v>
      </c>
      <c r="N12">
        <v>1.19</v>
      </c>
      <c r="O12">
        <v>1.17</v>
      </c>
      <c r="P12">
        <v>1.1499999999999999</v>
      </c>
      <c r="Q12">
        <v>1.25</v>
      </c>
      <c r="R12">
        <v>1.2</v>
      </c>
      <c r="S12">
        <v>1.24</v>
      </c>
      <c r="T12">
        <v>1.18</v>
      </c>
      <c r="U12">
        <v>1.17</v>
      </c>
      <c r="V12">
        <v>1.1599999999999999</v>
      </c>
      <c r="W12">
        <v>1.01</v>
      </c>
      <c r="X12">
        <v>0.99</v>
      </c>
      <c r="Y12">
        <v>1.03</v>
      </c>
      <c r="Z12">
        <v>1.0900000000000001</v>
      </c>
      <c r="AA12">
        <v>1.1000000000000001</v>
      </c>
      <c r="AB12">
        <v>1.0900000000000001</v>
      </c>
      <c r="AC12">
        <v>1.39</v>
      </c>
      <c r="AD12">
        <v>1.32</v>
      </c>
      <c r="AE12">
        <v>1.34</v>
      </c>
      <c r="AF12">
        <v>1.28</v>
      </c>
      <c r="AG12">
        <v>1.27</v>
      </c>
      <c r="AH12">
        <v>1.26</v>
      </c>
      <c r="AI12">
        <v>1.34</v>
      </c>
      <c r="AJ12">
        <v>1.36</v>
      </c>
      <c r="AK12">
        <v>1.3</v>
      </c>
      <c r="AL12">
        <v>1.26</v>
      </c>
      <c r="AM12">
        <v>1.22</v>
      </c>
      <c r="AN12">
        <v>1.21</v>
      </c>
      <c r="AO12">
        <v>1.34</v>
      </c>
      <c r="AP12">
        <v>1.32</v>
      </c>
      <c r="AQ12">
        <v>1.3</v>
      </c>
      <c r="AR12">
        <v>1.19</v>
      </c>
      <c r="AS12">
        <v>1.21</v>
      </c>
      <c r="AT12">
        <v>1.19</v>
      </c>
      <c r="AU12">
        <v>1.36</v>
      </c>
      <c r="AV12">
        <v>1.3</v>
      </c>
      <c r="AW12">
        <v>1.31</v>
      </c>
      <c r="BY12">
        <v>1.5</v>
      </c>
      <c r="BZ12">
        <v>1.49</v>
      </c>
      <c r="CA12">
        <v>1.46</v>
      </c>
      <c r="CB12">
        <v>2.38</v>
      </c>
      <c r="CC12">
        <v>2.4</v>
      </c>
      <c r="CD12">
        <v>2.36</v>
      </c>
    </row>
    <row r="13" spans="1:82">
      <c r="A13">
        <v>10433939</v>
      </c>
      <c r="B13" s="95">
        <v>46171</v>
      </c>
      <c r="C13" s="96">
        <v>0.82157407407407412</v>
      </c>
      <c r="D13">
        <v>93.972999999999999</v>
      </c>
      <c r="E13">
        <v>1.86</v>
      </c>
      <c r="F13">
        <v>1.87</v>
      </c>
      <c r="G13">
        <v>1.82</v>
      </c>
      <c r="H13">
        <v>1.92</v>
      </c>
      <c r="I13">
        <v>1.91</v>
      </c>
      <c r="J13">
        <v>1.91</v>
      </c>
      <c r="K13">
        <v>1.39</v>
      </c>
      <c r="L13">
        <v>1.36</v>
      </c>
      <c r="M13">
        <v>1.37</v>
      </c>
      <c r="N13">
        <v>1.17</v>
      </c>
      <c r="O13">
        <v>1.1599999999999999</v>
      </c>
      <c r="P13">
        <v>1.1599999999999999</v>
      </c>
      <c r="Q13">
        <v>1.22</v>
      </c>
      <c r="R13">
        <v>1.23</v>
      </c>
      <c r="S13">
        <v>1.25</v>
      </c>
      <c r="T13">
        <v>1.1599999999999999</v>
      </c>
      <c r="U13">
        <v>1.1499999999999999</v>
      </c>
      <c r="V13">
        <v>1.1599999999999999</v>
      </c>
      <c r="W13">
        <v>0.98</v>
      </c>
      <c r="X13">
        <v>0.96</v>
      </c>
      <c r="Y13">
        <v>0.99</v>
      </c>
      <c r="Z13">
        <v>1.1000000000000001</v>
      </c>
      <c r="AA13">
        <v>1.0900000000000001</v>
      </c>
      <c r="AB13">
        <v>1.0900000000000001</v>
      </c>
      <c r="AC13">
        <v>1.36</v>
      </c>
      <c r="AD13">
        <v>1.31</v>
      </c>
      <c r="AE13">
        <v>1.37</v>
      </c>
      <c r="AF13">
        <v>1.23</v>
      </c>
      <c r="AG13">
        <v>1.26</v>
      </c>
      <c r="AH13">
        <v>1.25</v>
      </c>
      <c r="AI13">
        <v>1.23</v>
      </c>
      <c r="AJ13">
        <v>1.19</v>
      </c>
      <c r="AK13">
        <v>1.26</v>
      </c>
      <c r="AL13">
        <v>1.22</v>
      </c>
      <c r="AM13">
        <v>1.24</v>
      </c>
      <c r="AN13">
        <v>1.22</v>
      </c>
      <c r="AO13">
        <v>1.29</v>
      </c>
      <c r="AP13">
        <v>1.28</v>
      </c>
      <c r="AQ13">
        <v>1.3</v>
      </c>
      <c r="AR13">
        <v>1.19</v>
      </c>
      <c r="AS13">
        <v>1.22</v>
      </c>
      <c r="AT13">
        <v>1.21</v>
      </c>
      <c r="AU13">
        <v>1.38</v>
      </c>
      <c r="AV13">
        <v>1.34</v>
      </c>
      <c r="AW13">
        <v>1.29</v>
      </c>
      <c r="BY13">
        <v>1.46</v>
      </c>
      <c r="BZ13">
        <v>1.45</v>
      </c>
      <c r="CA13">
        <v>1.37</v>
      </c>
      <c r="CB13">
        <v>2.34</v>
      </c>
      <c r="CC13">
        <v>2.36</v>
      </c>
      <c r="CD13">
        <v>2.31</v>
      </c>
    </row>
    <row r="14" spans="1:82">
      <c r="A14">
        <v>10433939</v>
      </c>
      <c r="B14" s="95">
        <v>46171</v>
      </c>
      <c r="C14" s="96">
        <v>0.82280092592592591</v>
      </c>
      <c r="D14">
        <v>93.91</v>
      </c>
      <c r="E14">
        <v>1.84</v>
      </c>
      <c r="F14">
        <v>1.86</v>
      </c>
      <c r="G14">
        <v>1.84</v>
      </c>
      <c r="H14">
        <v>1.96</v>
      </c>
      <c r="I14">
        <v>1.92</v>
      </c>
      <c r="J14">
        <v>1.9</v>
      </c>
      <c r="K14">
        <v>1.37</v>
      </c>
      <c r="L14">
        <v>1.39</v>
      </c>
      <c r="M14">
        <v>1.36</v>
      </c>
      <c r="N14">
        <v>1.19</v>
      </c>
      <c r="O14">
        <v>1.2</v>
      </c>
      <c r="P14">
        <v>1.19</v>
      </c>
      <c r="Q14">
        <v>1.26</v>
      </c>
      <c r="R14">
        <v>1.25</v>
      </c>
      <c r="S14">
        <v>1.27</v>
      </c>
      <c r="T14">
        <v>1.18</v>
      </c>
      <c r="U14">
        <v>1.17</v>
      </c>
      <c r="V14">
        <v>1.18</v>
      </c>
      <c r="W14">
        <v>0.99</v>
      </c>
      <c r="X14">
        <v>1</v>
      </c>
      <c r="Y14">
        <v>1.04</v>
      </c>
      <c r="Z14">
        <v>1.1200000000000001</v>
      </c>
      <c r="AA14">
        <v>1.1000000000000001</v>
      </c>
      <c r="AB14">
        <v>1.1200000000000001</v>
      </c>
      <c r="AC14">
        <v>1.37</v>
      </c>
      <c r="AD14">
        <v>1.35</v>
      </c>
      <c r="AE14">
        <v>1.36</v>
      </c>
      <c r="AF14">
        <v>1.26</v>
      </c>
      <c r="AG14">
        <v>1.29</v>
      </c>
      <c r="AH14">
        <v>1.27</v>
      </c>
      <c r="AI14">
        <v>1.26</v>
      </c>
      <c r="AJ14">
        <v>1.28</v>
      </c>
      <c r="AK14">
        <v>1.29</v>
      </c>
      <c r="AL14">
        <v>1.26</v>
      </c>
      <c r="AM14">
        <v>1.27</v>
      </c>
      <c r="AN14">
        <v>1.26</v>
      </c>
      <c r="AO14">
        <v>1.34</v>
      </c>
      <c r="AP14">
        <v>1.31</v>
      </c>
      <c r="AQ14">
        <v>1.32</v>
      </c>
      <c r="AR14">
        <v>1.2</v>
      </c>
      <c r="AS14">
        <v>1.26</v>
      </c>
      <c r="AT14">
        <v>1.24</v>
      </c>
      <c r="AU14">
        <v>1.36</v>
      </c>
      <c r="AV14">
        <v>1.35</v>
      </c>
      <c r="AW14">
        <v>1.32</v>
      </c>
      <c r="BY14">
        <v>1.47</v>
      </c>
      <c r="BZ14">
        <v>1.48</v>
      </c>
      <c r="CA14">
        <v>1.4</v>
      </c>
      <c r="CB14">
        <v>2.36</v>
      </c>
      <c r="CC14">
        <v>2.38</v>
      </c>
      <c r="CD14">
        <v>2.3199999999999998</v>
      </c>
    </row>
    <row r="15" spans="1:82">
      <c r="A15">
        <v>10433939</v>
      </c>
      <c r="B15" s="95">
        <v>46171</v>
      </c>
      <c r="C15" s="96">
        <v>0.82422453703703702</v>
      </c>
      <c r="D15">
        <v>93.84</v>
      </c>
      <c r="E15">
        <v>1.92</v>
      </c>
      <c r="F15">
        <v>1.82</v>
      </c>
      <c r="G15">
        <v>1.85</v>
      </c>
      <c r="H15">
        <v>1.93</v>
      </c>
      <c r="I15">
        <v>1.92</v>
      </c>
      <c r="J15">
        <v>1.93</v>
      </c>
      <c r="K15">
        <v>1.3</v>
      </c>
      <c r="L15">
        <v>1.31</v>
      </c>
      <c r="M15">
        <v>1.3</v>
      </c>
      <c r="N15">
        <v>1.1499999999999999</v>
      </c>
      <c r="O15">
        <v>1.1499999999999999</v>
      </c>
      <c r="P15">
        <v>1.1499999999999999</v>
      </c>
      <c r="Q15">
        <v>1.19</v>
      </c>
      <c r="R15">
        <v>1.22</v>
      </c>
      <c r="S15">
        <v>1.19</v>
      </c>
      <c r="T15">
        <v>1.17</v>
      </c>
      <c r="U15">
        <v>1.1599999999999999</v>
      </c>
      <c r="V15">
        <v>1.1599999999999999</v>
      </c>
      <c r="W15">
        <v>1</v>
      </c>
      <c r="X15">
        <v>1</v>
      </c>
      <c r="Y15">
        <v>0.93</v>
      </c>
      <c r="Z15">
        <v>1.1000000000000001</v>
      </c>
      <c r="AA15">
        <v>1.0900000000000001</v>
      </c>
      <c r="AB15">
        <v>1.0900000000000001</v>
      </c>
      <c r="AC15">
        <v>1.32</v>
      </c>
      <c r="AD15">
        <v>1.34</v>
      </c>
      <c r="AE15">
        <v>1.33</v>
      </c>
      <c r="AF15">
        <v>1.26</v>
      </c>
      <c r="AG15">
        <v>1.23</v>
      </c>
      <c r="AH15">
        <v>1.23</v>
      </c>
      <c r="AI15">
        <v>1.36</v>
      </c>
      <c r="AJ15">
        <v>1.26</v>
      </c>
      <c r="AK15">
        <v>1.26</v>
      </c>
      <c r="AL15">
        <v>1.21</v>
      </c>
      <c r="AM15">
        <v>1.22</v>
      </c>
      <c r="AN15">
        <v>1.18</v>
      </c>
      <c r="AO15">
        <v>1.32</v>
      </c>
      <c r="AP15">
        <v>1.29</v>
      </c>
      <c r="AQ15">
        <v>1.39</v>
      </c>
      <c r="AR15">
        <v>1.1599999999999999</v>
      </c>
      <c r="AS15">
        <v>1.17</v>
      </c>
      <c r="AT15">
        <v>1.19</v>
      </c>
      <c r="AU15">
        <v>1.36</v>
      </c>
      <c r="AV15">
        <v>1.33</v>
      </c>
      <c r="AW15">
        <v>1.32</v>
      </c>
      <c r="BY15">
        <v>1.46</v>
      </c>
      <c r="BZ15">
        <v>1.47</v>
      </c>
      <c r="CA15">
        <v>1.48</v>
      </c>
      <c r="CB15">
        <v>2.36</v>
      </c>
      <c r="CC15">
        <v>2.37</v>
      </c>
      <c r="CD15">
        <v>2.37</v>
      </c>
    </row>
    <row r="16" spans="1:82">
      <c r="A16">
        <v>10433939</v>
      </c>
      <c r="B16" s="95">
        <v>46171</v>
      </c>
      <c r="C16" s="96">
        <v>0.82532407407407404</v>
      </c>
      <c r="D16">
        <v>93.835999999999999</v>
      </c>
      <c r="E16">
        <v>1.93</v>
      </c>
      <c r="F16">
        <v>1.86</v>
      </c>
      <c r="G16">
        <v>1.85</v>
      </c>
      <c r="H16">
        <v>1.94</v>
      </c>
      <c r="I16">
        <v>1.92</v>
      </c>
      <c r="J16">
        <v>1.93</v>
      </c>
      <c r="K16">
        <v>1.32</v>
      </c>
      <c r="L16">
        <v>1.32</v>
      </c>
      <c r="M16">
        <v>1.3</v>
      </c>
      <c r="N16">
        <v>1.1599999999999999</v>
      </c>
      <c r="O16">
        <v>1.1599999999999999</v>
      </c>
      <c r="P16">
        <v>1.1499999999999999</v>
      </c>
      <c r="Q16">
        <v>1.2</v>
      </c>
      <c r="R16">
        <v>1.22</v>
      </c>
      <c r="S16">
        <v>1.2</v>
      </c>
      <c r="T16">
        <v>1.17</v>
      </c>
      <c r="U16">
        <v>1.18</v>
      </c>
      <c r="V16">
        <v>1.1599999999999999</v>
      </c>
      <c r="W16">
        <v>1.01</v>
      </c>
      <c r="X16">
        <v>1.01</v>
      </c>
      <c r="Y16">
        <v>1</v>
      </c>
      <c r="Z16">
        <v>1.1000000000000001</v>
      </c>
      <c r="AA16">
        <v>1.0900000000000001</v>
      </c>
      <c r="AB16">
        <v>1.1000000000000001</v>
      </c>
      <c r="AC16">
        <v>1.33</v>
      </c>
      <c r="AD16">
        <v>1.34</v>
      </c>
      <c r="AE16">
        <v>1.29</v>
      </c>
      <c r="AF16">
        <v>1.26</v>
      </c>
      <c r="AG16">
        <v>1.23</v>
      </c>
      <c r="AH16">
        <v>1.22</v>
      </c>
      <c r="AI16">
        <v>1.37</v>
      </c>
      <c r="AJ16">
        <v>1.27</v>
      </c>
      <c r="AK16">
        <v>1.27</v>
      </c>
      <c r="AL16">
        <v>1.21</v>
      </c>
      <c r="AM16">
        <v>1.22</v>
      </c>
      <c r="AN16">
        <v>1.18</v>
      </c>
      <c r="AO16">
        <v>1.33</v>
      </c>
      <c r="AP16">
        <v>1.3</v>
      </c>
      <c r="AQ16">
        <v>1.39</v>
      </c>
      <c r="AR16">
        <v>1.1599999999999999</v>
      </c>
      <c r="AS16">
        <v>1.17</v>
      </c>
      <c r="AT16">
        <v>1.19</v>
      </c>
      <c r="AU16">
        <v>1.35</v>
      </c>
      <c r="AV16">
        <v>1.33</v>
      </c>
      <c r="AW16">
        <v>1.32</v>
      </c>
      <c r="BY16">
        <v>1.46</v>
      </c>
      <c r="BZ16">
        <v>1.47</v>
      </c>
      <c r="CA16">
        <v>1.48</v>
      </c>
      <c r="CB16">
        <v>2.37</v>
      </c>
      <c r="CC16">
        <v>2.38</v>
      </c>
      <c r="CD16">
        <v>2.39</v>
      </c>
    </row>
    <row r="17" spans="1:82">
      <c r="A17">
        <v>10433939</v>
      </c>
      <c r="B17" s="95">
        <v>46174</v>
      </c>
      <c r="C17" s="96">
        <v>0.67606481481481484</v>
      </c>
      <c r="D17">
        <v>93.944999999999993</v>
      </c>
      <c r="E17">
        <v>1.91</v>
      </c>
      <c r="F17">
        <v>1.81</v>
      </c>
      <c r="G17">
        <v>1.8</v>
      </c>
      <c r="H17">
        <v>1.93</v>
      </c>
      <c r="I17">
        <v>1.93</v>
      </c>
      <c r="J17">
        <v>1.91</v>
      </c>
      <c r="K17">
        <v>1.38</v>
      </c>
      <c r="L17">
        <v>1.35</v>
      </c>
      <c r="M17">
        <v>1.37</v>
      </c>
      <c r="N17">
        <v>1.19</v>
      </c>
      <c r="O17">
        <v>1.2</v>
      </c>
      <c r="P17">
        <v>1.18</v>
      </c>
      <c r="Q17">
        <v>1.26</v>
      </c>
      <c r="R17">
        <v>1.21</v>
      </c>
      <c r="S17">
        <v>1.22</v>
      </c>
      <c r="T17">
        <v>1.18</v>
      </c>
      <c r="U17">
        <v>1.19</v>
      </c>
      <c r="V17">
        <v>1.17</v>
      </c>
      <c r="X17">
        <v>0.99</v>
      </c>
      <c r="Y17">
        <v>0.95</v>
      </c>
      <c r="Z17">
        <v>1.1499999999999999</v>
      </c>
      <c r="AA17">
        <v>1.1299999999999999</v>
      </c>
      <c r="AB17">
        <v>1.1200000000000001</v>
      </c>
      <c r="AC17">
        <v>1.37</v>
      </c>
      <c r="AD17">
        <v>1.33</v>
      </c>
      <c r="AE17">
        <v>1.3</v>
      </c>
      <c r="AF17">
        <v>1.25</v>
      </c>
      <c r="AG17">
        <v>1.24</v>
      </c>
      <c r="AH17">
        <v>1.25</v>
      </c>
      <c r="AI17">
        <v>1.36</v>
      </c>
      <c r="AJ17">
        <v>1.26</v>
      </c>
      <c r="AK17">
        <v>1.25</v>
      </c>
      <c r="AL17">
        <v>1.22</v>
      </c>
      <c r="AM17">
        <v>1.2</v>
      </c>
      <c r="AN17">
        <v>1.19</v>
      </c>
      <c r="AO17">
        <v>1.37</v>
      </c>
      <c r="AP17">
        <v>1.32</v>
      </c>
      <c r="AQ17">
        <v>1.33</v>
      </c>
      <c r="AR17">
        <v>1.17</v>
      </c>
      <c r="AS17">
        <v>1.19</v>
      </c>
      <c r="AT17">
        <v>1.2</v>
      </c>
      <c r="AU17">
        <v>1.37</v>
      </c>
      <c r="AV17">
        <v>1.33</v>
      </c>
      <c r="AW17">
        <v>1.34</v>
      </c>
      <c r="BY17">
        <v>1.48</v>
      </c>
      <c r="BZ17">
        <v>1.45</v>
      </c>
      <c r="CA17">
        <v>1.43</v>
      </c>
      <c r="CB17">
        <v>2.33</v>
      </c>
      <c r="CC17">
        <v>2.38</v>
      </c>
      <c r="CD17">
        <v>2.34</v>
      </c>
    </row>
    <row r="18" spans="1:82">
      <c r="A18">
        <v>10433939</v>
      </c>
      <c r="B18" s="95">
        <v>46174</v>
      </c>
      <c r="C18" s="96">
        <v>0.6777199074074074</v>
      </c>
      <c r="D18">
        <v>94.216999999999999</v>
      </c>
      <c r="E18">
        <v>1.92</v>
      </c>
      <c r="F18">
        <v>1.83</v>
      </c>
      <c r="G18">
        <v>1.81</v>
      </c>
      <c r="H18">
        <v>1.95</v>
      </c>
      <c r="I18">
        <v>1.94</v>
      </c>
      <c r="J18">
        <v>1.91</v>
      </c>
      <c r="K18">
        <v>1.39</v>
      </c>
      <c r="L18">
        <v>1.35</v>
      </c>
      <c r="M18">
        <v>1.38</v>
      </c>
      <c r="N18">
        <v>1.18</v>
      </c>
      <c r="O18">
        <v>1.2</v>
      </c>
      <c r="P18">
        <v>1.19</v>
      </c>
      <c r="Q18">
        <v>1.25</v>
      </c>
      <c r="R18">
        <v>1.23</v>
      </c>
      <c r="S18">
        <v>1.21</v>
      </c>
      <c r="T18">
        <v>1.19</v>
      </c>
      <c r="U18">
        <v>1.2</v>
      </c>
      <c r="V18">
        <v>1.18</v>
      </c>
      <c r="W18">
        <v>1.04</v>
      </c>
      <c r="X18">
        <v>1.01</v>
      </c>
      <c r="Y18">
        <v>0.98</v>
      </c>
      <c r="Z18">
        <v>1.17</v>
      </c>
      <c r="AA18">
        <v>1.1499999999999999</v>
      </c>
      <c r="AB18">
        <v>1.1100000000000001</v>
      </c>
      <c r="AC18">
        <v>1.35</v>
      </c>
      <c r="AD18">
        <v>1.36</v>
      </c>
      <c r="AE18">
        <v>1.32</v>
      </c>
      <c r="AF18">
        <v>1.27</v>
      </c>
      <c r="AG18">
        <v>1.28</v>
      </c>
      <c r="AH18">
        <v>1.27</v>
      </c>
      <c r="AI18">
        <v>1.37</v>
      </c>
      <c r="AJ18">
        <v>1.27</v>
      </c>
      <c r="AK18">
        <v>1.26</v>
      </c>
      <c r="AL18">
        <v>1.24</v>
      </c>
      <c r="AM18">
        <v>1.22</v>
      </c>
      <c r="AN18">
        <v>1.2</v>
      </c>
      <c r="AO18">
        <v>1.36</v>
      </c>
      <c r="AP18">
        <v>1.33</v>
      </c>
      <c r="AQ18">
        <v>1.35</v>
      </c>
      <c r="AR18">
        <v>1.19</v>
      </c>
      <c r="AS18">
        <v>1.21</v>
      </c>
      <c r="AT18">
        <v>1.22</v>
      </c>
      <c r="AU18">
        <v>1.38</v>
      </c>
      <c r="AV18">
        <v>1.34</v>
      </c>
      <c r="AW18">
        <v>1.35</v>
      </c>
      <c r="BY18">
        <v>1.49</v>
      </c>
      <c r="BZ18">
        <v>1.46</v>
      </c>
      <c r="CA18">
        <v>1.45</v>
      </c>
      <c r="CB18">
        <v>2.33</v>
      </c>
      <c r="CC18">
        <v>2.37</v>
      </c>
      <c r="CD18">
        <v>2.34</v>
      </c>
    </row>
    <row r="19" spans="1:82">
      <c r="A19">
        <v>10433939</v>
      </c>
      <c r="B19" s="95">
        <v>46174</v>
      </c>
      <c r="C19" s="96">
        <v>0.67914351851851851</v>
      </c>
      <c r="D19">
        <v>94.200999999999993</v>
      </c>
      <c r="E19">
        <v>1.85</v>
      </c>
      <c r="F19">
        <v>1.88</v>
      </c>
      <c r="G19">
        <v>1.99</v>
      </c>
      <c r="H19">
        <v>1.94</v>
      </c>
      <c r="I19">
        <v>1.94</v>
      </c>
      <c r="J19">
        <v>1.92</v>
      </c>
      <c r="K19">
        <v>1.38</v>
      </c>
      <c r="L19">
        <v>1.35</v>
      </c>
      <c r="M19">
        <v>1.37</v>
      </c>
      <c r="N19">
        <v>1.2</v>
      </c>
      <c r="O19">
        <v>1.21</v>
      </c>
      <c r="P19">
        <v>1.19</v>
      </c>
      <c r="Q19">
        <v>1.25</v>
      </c>
      <c r="R19">
        <v>1.2</v>
      </c>
      <c r="S19">
        <v>1.21</v>
      </c>
      <c r="T19">
        <v>1.19</v>
      </c>
      <c r="U19">
        <v>1.18</v>
      </c>
      <c r="V19">
        <v>1.17</v>
      </c>
      <c r="W19">
        <v>1.01</v>
      </c>
      <c r="X19">
        <v>1</v>
      </c>
      <c r="Y19">
        <v>0.99</v>
      </c>
      <c r="Z19">
        <v>1.1499999999999999</v>
      </c>
      <c r="AA19">
        <v>1.1299999999999999</v>
      </c>
      <c r="AB19">
        <v>1.1399999999999999</v>
      </c>
      <c r="AC19">
        <v>1.36</v>
      </c>
      <c r="AD19">
        <v>1.33</v>
      </c>
      <c r="AE19">
        <v>1.31</v>
      </c>
      <c r="AF19">
        <v>1.26</v>
      </c>
      <c r="AG19">
        <v>1.24</v>
      </c>
      <c r="AH19">
        <v>1.26</v>
      </c>
      <c r="AI19">
        <v>1.36</v>
      </c>
      <c r="AJ19">
        <v>1.26</v>
      </c>
      <c r="AK19">
        <v>1.35</v>
      </c>
      <c r="AL19">
        <v>1.22</v>
      </c>
      <c r="AM19">
        <v>1.2</v>
      </c>
      <c r="AN19">
        <v>1.23</v>
      </c>
      <c r="AO19">
        <v>1.35</v>
      </c>
      <c r="AP19">
        <v>1.33</v>
      </c>
      <c r="AQ19">
        <v>1.36</v>
      </c>
      <c r="AR19">
        <v>1.18</v>
      </c>
      <c r="AS19">
        <v>1.2</v>
      </c>
      <c r="AT19">
        <v>1.19</v>
      </c>
      <c r="AU19">
        <v>1.36</v>
      </c>
      <c r="AV19">
        <v>1.34</v>
      </c>
      <c r="AW19">
        <v>1.35</v>
      </c>
      <c r="BY19">
        <v>1.48</v>
      </c>
      <c r="BZ19">
        <v>1.45</v>
      </c>
      <c r="CA19">
        <v>1.43</v>
      </c>
      <c r="CB19">
        <v>2.33</v>
      </c>
      <c r="CC19">
        <v>2.37</v>
      </c>
      <c r="CD19">
        <v>2.33</v>
      </c>
    </row>
    <row r="20" spans="1:82">
      <c r="A20">
        <v>10433939</v>
      </c>
      <c r="B20" s="95">
        <v>46174</v>
      </c>
      <c r="C20" s="96">
        <v>0.68047453703703709</v>
      </c>
      <c r="D20">
        <v>94.206000000000003</v>
      </c>
      <c r="E20">
        <v>1.86</v>
      </c>
      <c r="F20">
        <v>1.87</v>
      </c>
      <c r="G20">
        <v>1.97</v>
      </c>
      <c r="H20">
        <v>1.93</v>
      </c>
      <c r="I20">
        <v>1.94</v>
      </c>
      <c r="J20">
        <v>1.92</v>
      </c>
      <c r="K20">
        <v>1.39</v>
      </c>
      <c r="L20">
        <v>1.36</v>
      </c>
      <c r="M20">
        <v>1.37</v>
      </c>
      <c r="N20">
        <v>1.19</v>
      </c>
      <c r="O20">
        <v>1.2</v>
      </c>
      <c r="P20">
        <v>1.19</v>
      </c>
      <c r="Q20">
        <v>1.25</v>
      </c>
      <c r="R20">
        <v>1.22</v>
      </c>
      <c r="S20">
        <v>1.21</v>
      </c>
      <c r="T20">
        <v>1.2</v>
      </c>
      <c r="U20">
        <v>1.21</v>
      </c>
      <c r="V20">
        <v>1.23</v>
      </c>
      <c r="W20">
        <v>1.05</v>
      </c>
      <c r="X20">
        <v>1.02</v>
      </c>
      <c r="Y20">
        <v>0.99</v>
      </c>
      <c r="Z20">
        <v>1.18</v>
      </c>
      <c r="AA20">
        <v>1.1499999999999999</v>
      </c>
      <c r="AB20">
        <v>1.1200000000000001</v>
      </c>
      <c r="AC20">
        <v>1.34</v>
      </c>
      <c r="AD20">
        <v>1.36</v>
      </c>
      <c r="AE20">
        <v>1.33</v>
      </c>
      <c r="AF20">
        <v>1.28</v>
      </c>
      <c r="AG20">
        <v>1.27</v>
      </c>
      <c r="AH20">
        <v>1.28</v>
      </c>
      <c r="AI20">
        <v>1.37</v>
      </c>
      <c r="AJ20">
        <v>1.28</v>
      </c>
      <c r="AK20">
        <v>1.27</v>
      </c>
      <c r="AL20">
        <v>1.24</v>
      </c>
      <c r="AM20">
        <v>1.23</v>
      </c>
      <c r="AN20">
        <v>1.25</v>
      </c>
      <c r="AO20">
        <v>1.36</v>
      </c>
      <c r="AP20">
        <v>1.33</v>
      </c>
      <c r="AQ20">
        <v>1.35</v>
      </c>
      <c r="AR20">
        <v>1.2</v>
      </c>
      <c r="AS20">
        <v>1.22</v>
      </c>
      <c r="AT20">
        <v>1.21</v>
      </c>
      <c r="AU20">
        <v>1.37</v>
      </c>
      <c r="AV20">
        <v>1.34</v>
      </c>
      <c r="AW20">
        <v>1.36</v>
      </c>
      <c r="BY20">
        <v>1.49</v>
      </c>
      <c r="BZ20">
        <v>1.46</v>
      </c>
      <c r="CA20">
        <v>1.45</v>
      </c>
      <c r="CB20">
        <v>2.33</v>
      </c>
      <c r="CC20">
        <v>2.36</v>
      </c>
      <c r="CD20">
        <v>2.34</v>
      </c>
    </row>
    <row r="21" spans="1:82">
      <c r="A21">
        <v>10433939</v>
      </c>
      <c r="B21" s="95">
        <v>46174</v>
      </c>
      <c r="C21" s="96">
        <v>0.71535879629629628</v>
      </c>
      <c r="D21">
        <v>94.503</v>
      </c>
      <c r="E21">
        <v>1.89</v>
      </c>
      <c r="F21">
        <v>1.8</v>
      </c>
      <c r="G21">
        <v>1.86</v>
      </c>
      <c r="H21">
        <v>1.92</v>
      </c>
      <c r="I21">
        <v>1.9</v>
      </c>
      <c r="J21">
        <v>1.92</v>
      </c>
      <c r="K21">
        <v>1.42</v>
      </c>
      <c r="L21">
        <v>1.4</v>
      </c>
      <c r="M21">
        <v>1.4</v>
      </c>
      <c r="N21">
        <v>1.18</v>
      </c>
      <c r="O21">
        <v>1.1499999999999999</v>
      </c>
      <c r="P21">
        <v>1.1599999999999999</v>
      </c>
      <c r="Q21">
        <v>1.26</v>
      </c>
      <c r="R21">
        <v>1.27</v>
      </c>
      <c r="S21">
        <v>1.23</v>
      </c>
      <c r="T21">
        <v>1.17</v>
      </c>
      <c r="U21">
        <v>1.1599999999999999</v>
      </c>
      <c r="V21">
        <v>1.1599999999999999</v>
      </c>
      <c r="W21">
        <v>1.03</v>
      </c>
      <c r="X21">
        <v>1</v>
      </c>
      <c r="Y21">
        <v>1.04</v>
      </c>
      <c r="Z21">
        <v>1.1599999999999999</v>
      </c>
      <c r="AA21">
        <v>1.1299999999999999</v>
      </c>
      <c r="AB21">
        <v>1.1299999999999999</v>
      </c>
      <c r="AC21">
        <v>1.36</v>
      </c>
      <c r="AD21">
        <v>1.29</v>
      </c>
      <c r="AE21">
        <v>1.32</v>
      </c>
      <c r="AF21">
        <v>1.26</v>
      </c>
      <c r="AG21">
        <v>1.23</v>
      </c>
      <c r="AH21">
        <v>1.23</v>
      </c>
      <c r="AI21">
        <v>1.37</v>
      </c>
      <c r="AJ21">
        <v>1.26</v>
      </c>
      <c r="AK21">
        <v>1.36</v>
      </c>
      <c r="AL21">
        <v>1.24</v>
      </c>
      <c r="AM21">
        <v>1.2</v>
      </c>
      <c r="AN21">
        <v>1.2</v>
      </c>
      <c r="AO21">
        <v>1.4</v>
      </c>
      <c r="AP21">
        <v>1.35</v>
      </c>
      <c r="AQ21">
        <v>1.39</v>
      </c>
      <c r="AR21">
        <v>1.19</v>
      </c>
      <c r="AS21">
        <v>1.18</v>
      </c>
      <c r="AT21">
        <v>1.18</v>
      </c>
      <c r="AU21">
        <v>1.36</v>
      </c>
      <c r="AV21">
        <v>1.35</v>
      </c>
      <c r="AW21">
        <v>1.29</v>
      </c>
      <c r="BY21">
        <v>1.51</v>
      </c>
      <c r="BZ21">
        <v>1.43</v>
      </c>
      <c r="CA21">
        <v>1.46</v>
      </c>
      <c r="CB21">
        <v>2.33</v>
      </c>
      <c r="CC21">
        <v>2.2999999999999998</v>
      </c>
      <c r="CD21">
        <v>2.2999999999999998</v>
      </c>
    </row>
    <row r="22" spans="1:82">
      <c r="A22">
        <v>10433939</v>
      </c>
      <c r="B22" s="95">
        <v>46174</v>
      </c>
      <c r="C22" s="96">
        <v>0.71662037037037041</v>
      </c>
      <c r="D22">
        <v>94.501999999999995</v>
      </c>
      <c r="E22">
        <v>1.9</v>
      </c>
      <c r="F22">
        <v>1.81</v>
      </c>
      <c r="G22">
        <v>1.86</v>
      </c>
      <c r="H22">
        <v>1.93</v>
      </c>
      <c r="I22">
        <v>1.9</v>
      </c>
      <c r="J22">
        <v>1.92</v>
      </c>
      <c r="K22">
        <v>1.4</v>
      </c>
      <c r="L22">
        <v>1.42</v>
      </c>
      <c r="M22">
        <v>1.42</v>
      </c>
      <c r="N22">
        <v>1.18</v>
      </c>
      <c r="O22">
        <v>1.1599999999999999</v>
      </c>
      <c r="P22">
        <v>1.1599999999999999</v>
      </c>
      <c r="Q22">
        <v>1.26</v>
      </c>
      <c r="R22">
        <v>1.27</v>
      </c>
      <c r="S22">
        <v>1.26</v>
      </c>
      <c r="T22">
        <v>1.17</v>
      </c>
      <c r="U22">
        <v>1.1599999999999999</v>
      </c>
      <c r="V22">
        <v>1.1599999999999999</v>
      </c>
      <c r="W22">
        <v>1.02</v>
      </c>
      <c r="X22">
        <v>1</v>
      </c>
      <c r="Y22">
        <v>1.03</v>
      </c>
      <c r="Z22">
        <v>1.1599999999999999</v>
      </c>
      <c r="AA22">
        <v>1.1299999999999999</v>
      </c>
      <c r="AB22">
        <v>1.1399999999999999</v>
      </c>
      <c r="AC22">
        <v>1.34</v>
      </c>
      <c r="AD22">
        <v>1.3</v>
      </c>
      <c r="AE22">
        <v>1.32</v>
      </c>
      <c r="AF22">
        <v>1.26</v>
      </c>
      <c r="AG22">
        <v>1.23</v>
      </c>
      <c r="AH22">
        <v>1.24</v>
      </c>
      <c r="AI22">
        <v>1.36</v>
      </c>
      <c r="AJ22">
        <v>1.28</v>
      </c>
      <c r="AK22">
        <v>1.36</v>
      </c>
      <c r="AL22">
        <v>1.24</v>
      </c>
      <c r="AM22">
        <v>1.2</v>
      </c>
      <c r="AN22">
        <v>1.2</v>
      </c>
      <c r="AO22">
        <v>1.4</v>
      </c>
      <c r="AP22">
        <v>1.35</v>
      </c>
      <c r="AQ22">
        <v>1.39</v>
      </c>
      <c r="AR22">
        <v>1.19</v>
      </c>
      <c r="AS22">
        <v>1.18</v>
      </c>
      <c r="AT22">
        <v>1.1599999999999999</v>
      </c>
      <c r="AU22">
        <v>1.36</v>
      </c>
      <c r="AV22">
        <v>1.35</v>
      </c>
      <c r="AW22">
        <v>1.3</v>
      </c>
      <c r="BY22">
        <v>1.51</v>
      </c>
      <c r="BZ22">
        <v>1.45</v>
      </c>
      <c r="CA22">
        <v>1.46</v>
      </c>
      <c r="CB22">
        <v>2.36</v>
      </c>
      <c r="CC22">
        <v>2.3199999999999998</v>
      </c>
      <c r="CD22">
        <v>2.3199999999999998</v>
      </c>
    </row>
    <row r="23" spans="1:82">
      <c r="A23">
        <v>10433939</v>
      </c>
      <c r="B23" s="95">
        <v>46174</v>
      </c>
      <c r="C23" s="96">
        <v>0.73241898148148143</v>
      </c>
      <c r="D23">
        <v>94.088999999999999</v>
      </c>
      <c r="E23">
        <v>1.86</v>
      </c>
      <c r="F23">
        <v>1.85</v>
      </c>
      <c r="G23">
        <v>1.9</v>
      </c>
      <c r="H23">
        <v>1.92</v>
      </c>
      <c r="I23">
        <v>1.9</v>
      </c>
      <c r="J23">
        <v>1.92</v>
      </c>
      <c r="K23">
        <v>1.39</v>
      </c>
      <c r="L23">
        <v>1.34</v>
      </c>
      <c r="M23">
        <v>1.34</v>
      </c>
      <c r="N23">
        <v>1.1599999999999999</v>
      </c>
      <c r="O23">
        <v>1.17</v>
      </c>
      <c r="P23">
        <v>1.1599999999999999</v>
      </c>
      <c r="Q23">
        <v>1.24</v>
      </c>
      <c r="R23">
        <v>1.22</v>
      </c>
      <c r="S23">
        <v>1.26</v>
      </c>
      <c r="T23">
        <v>1.17</v>
      </c>
      <c r="U23">
        <v>1.1599999999999999</v>
      </c>
      <c r="V23">
        <v>1.18</v>
      </c>
      <c r="W23">
        <v>1</v>
      </c>
      <c r="X23">
        <v>0.99</v>
      </c>
      <c r="Y23">
        <v>0.99</v>
      </c>
      <c r="Z23">
        <v>1.1299999999999999</v>
      </c>
      <c r="AA23">
        <v>1.1000000000000001</v>
      </c>
      <c r="AB23">
        <v>1.1000000000000001</v>
      </c>
      <c r="AC23">
        <v>1.32</v>
      </c>
      <c r="AD23">
        <v>1.3</v>
      </c>
      <c r="AE23">
        <v>1.36</v>
      </c>
      <c r="AF23">
        <v>1.23</v>
      </c>
      <c r="AG23">
        <v>1.22</v>
      </c>
      <c r="AH23">
        <v>1.24</v>
      </c>
      <c r="AI23">
        <v>1.21</v>
      </c>
      <c r="AJ23">
        <v>1.24</v>
      </c>
      <c r="AK23">
        <v>1.33</v>
      </c>
      <c r="AL23">
        <v>1.22</v>
      </c>
      <c r="AM23">
        <v>1.18</v>
      </c>
      <c r="AN23">
        <v>1.19</v>
      </c>
      <c r="AO23">
        <v>1.39</v>
      </c>
      <c r="AP23">
        <v>1.38</v>
      </c>
      <c r="AQ23">
        <v>1.38</v>
      </c>
      <c r="AR23">
        <v>1.18</v>
      </c>
      <c r="AS23">
        <v>1.19</v>
      </c>
      <c r="AT23">
        <v>1.19</v>
      </c>
      <c r="AU23">
        <v>1.36</v>
      </c>
      <c r="AV23">
        <v>1.39</v>
      </c>
      <c r="AW23">
        <v>1.31</v>
      </c>
      <c r="BY23">
        <v>1.51</v>
      </c>
      <c r="BZ23">
        <v>1.49</v>
      </c>
      <c r="CA23">
        <v>1.41</v>
      </c>
      <c r="CB23">
        <v>2.39</v>
      </c>
      <c r="CC23">
        <v>2.38</v>
      </c>
      <c r="CD23">
        <v>2.33</v>
      </c>
    </row>
    <row r="24" spans="1:82">
      <c r="A24">
        <v>10433939</v>
      </c>
      <c r="B24" s="95">
        <v>46174</v>
      </c>
      <c r="C24" s="96">
        <v>0.73365740740740737</v>
      </c>
      <c r="D24">
        <v>94.106999999999999</v>
      </c>
      <c r="E24">
        <v>1.85</v>
      </c>
      <c r="F24">
        <v>1.89</v>
      </c>
      <c r="G24">
        <v>1.86</v>
      </c>
      <c r="H24">
        <v>1.9</v>
      </c>
      <c r="I24">
        <v>1.92</v>
      </c>
      <c r="J24">
        <v>1.91</v>
      </c>
      <c r="K24">
        <v>1.4</v>
      </c>
      <c r="L24">
        <v>1.36</v>
      </c>
      <c r="M24">
        <v>1.37</v>
      </c>
      <c r="N24">
        <v>1.19</v>
      </c>
      <c r="O24">
        <v>1.19</v>
      </c>
      <c r="P24">
        <v>1.17</v>
      </c>
      <c r="Q24">
        <v>1.26</v>
      </c>
      <c r="R24">
        <v>1.22</v>
      </c>
      <c r="S24">
        <v>1.24</v>
      </c>
      <c r="T24">
        <v>1.19</v>
      </c>
      <c r="U24">
        <v>1.1499999999999999</v>
      </c>
      <c r="V24">
        <v>1.19</v>
      </c>
      <c r="W24">
        <v>1.07</v>
      </c>
      <c r="X24">
        <v>1.03</v>
      </c>
      <c r="Y24">
        <v>1</v>
      </c>
      <c r="Z24">
        <v>1.1000000000000001</v>
      </c>
      <c r="AA24">
        <v>1.1200000000000001</v>
      </c>
      <c r="AB24">
        <v>1.1000000000000001</v>
      </c>
      <c r="AC24">
        <v>1.36</v>
      </c>
      <c r="AD24">
        <v>1.3</v>
      </c>
      <c r="AE24">
        <v>1.34</v>
      </c>
      <c r="AF24">
        <v>1.29</v>
      </c>
      <c r="AG24">
        <v>1.26</v>
      </c>
      <c r="AH24">
        <v>1.27</v>
      </c>
      <c r="AI24">
        <v>1.26</v>
      </c>
      <c r="AJ24">
        <v>1.29</v>
      </c>
      <c r="AK24">
        <v>1.31</v>
      </c>
      <c r="AL24">
        <v>1.27</v>
      </c>
      <c r="AM24">
        <v>1.22</v>
      </c>
      <c r="AN24">
        <v>1.21</v>
      </c>
      <c r="AO24">
        <v>1.38</v>
      </c>
      <c r="AP24">
        <v>1.37</v>
      </c>
      <c r="AQ24">
        <v>1.36</v>
      </c>
      <c r="AR24">
        <v>1.19</v>
      </c>
      <c r="AS24">
        <v>1.21</v>
      </c>
      <c r="AT24">
        <v>1.2</v>
      </c>
      <c r="AU24">
        <v>1.35</v>
      </c>
      <c r="AV24">
        <v>1.36</v>
      </c>
      <c r="AW24">
        <v>1.35</v>
      </c>
      <c r="BY24">
        <v>1.5</v>
      </c>
      <c r="BZ24">
        <v>1.51</v>
      </c>
      <c r="CA24">
        <v>1.46</v>
      </c>
      <c r="CB24">
        <v>2.4</v>
      </c>
      <c r="CC24">
        <v>2.39</v>
      </c>
      <c r="CD24">
        <v>2.39</v>
      </c>
    </row>
    <row r="25" spans="1:82">
      <c r="A25">
        <v>10433939</v>
      </c>
      <c r="B25" s="95">
        <v>46174</v>
      </c>
      <c r="C25" s="96">
        <v>0.73556712962962967</v>
      </c>
      <c r="D25">
        <v>94.188999999999993</v>
      </c>
      <c r="E25">
        <v>1.9</v>
      </c>
      <c r="F25">
        <v>1.86</v>
      </c>
      <c r="G25">
        <v>1.91</v>
      </c>
      <c r="H25">
        <v>1.91</v>
      </c>
      <c r="I25">
        <v>1.93</v>
      </c>
      <c r="J25">
        <v>1.94</v>
      </c>
      <c r="K25">
        <v>1.35</v>
      </c>
      <c r="L25">
        <v>1.31</v>
      </c>
      <c r="M25">
        <v>1.32</v>
      </c>
      <c r="N25">
        <v>1.17</v>
      </c>
      <c r="O25">
        <v>1.17</v>
      </c>
      <c r="P25">
        <v>1.18</v>
      </c>
      <c r="Q25">
        <v>1.26</v>
      </c>
      <c r="R25">
        <v>1.22</v>
      </c>
      <c r="S25">
        <v>1.2</v>
      </c>
      <c r="T25">
        <v>1.18</v>
      </c>
      <c r="U25">
        <v>1.1599999999999999</v>
      </c>
      <c r="V25">
        <v>1.1499999999999999</v>
      </c>
      <c r="W25">
        <v>1.02</v>
      </c>
      <c r="X25">
        <v>0.94</v>
      </c>
      <c r="Y25">
        <v>0.92</v>
      </c>
      <c r="Z25">
        <v>1.1200000000000001</v>
      </c>
      <c r="AA25">
        <v>1.1100000000000001</v>
      </c>
      <c r="AB25">
        <v>1.1299999999999999</v>
      </c>
      <c r="AC25">
        <v>1.32</v>
      </c>
      <c r="AD25">
        <v>1.31</v>
      </c>
      <c r="AE25">
        <v>1.31</v>
      </c>
      <c r="AF25">
        <v>1.24</v>
      </c>
      <c r="AG25">
        <v>1.24</v>
      </c>
      <c r="AH25">
        <v>1.25</v>
      </c>
      <c r="AI25">
        <v>1.29</v>
      </c>
      <c r="AJ25">
        <v>1.28</v>
      </c>
      <c r="AK25">
        <v>1.29</v>
      </c>
      <c r="AL25">
        <v>1.22</v>
      </c>
      <c r="AM25">
        <v>1.21</v>
      </c>
      <c r="AN25">
        <v>1.2</v>
      </c>
      <c r="AO25">
        <v>1.36</v>
      </c>
      <c r="AP25">
        <v>1.37</v>
      </c>
      <c r="AQ25">
        <v>1.3</v>
      </c>
      <c r="AR25">
        <v>1.18</v>
      </c>
      <c r="AS25">
        <v>1.17</v>
      </c>
      <c r="AT25">
        <v>1.2</v>
      </c>
      <c r="AU25">
        <v>1.39</v>
      </c>
      <c r="AV25">
        <v>1.33</v>
      </c>
      <c r="AW25">
        <v>1.29</v>
      </c>
      <c r="BY25">
        <v>1.47</v>
      </c>
      <c r="BZ25">
        <v>1.4</v>
      </c>
      <c r="CA25">
        <v>1.38</v>
      </c>
      <c r="CB25">
        <v>2.33</v>
      </c>
      <c r="CC25">
        <v>2.31</v>
      </c>
      <c r="CD25">
        <v>2.3199999999999998</v>
      </c>
    </row>
    <row r="26" spans="1:82">
      <c r="A26">
        <v>10433939</v>
      </c>
      <c r="B26" s="95">
        <v>46174</v>
      </c>
      <c r="C26" s="96">
        <v>0.7366435185185185</v>
      </c>
      <c r="D26">
        <v>94.21</v>
      </c>
      <c r="E26">
        <v>1.87</v>
      </c>
      <c r="F26">
        <v>1.9</v>
      </c>
      <c r="G26">
        <v>1.9</v>
      </c>
      <c r="H26">
        <v>1.96</v>
      </c>
      <c r="I26">
        <v>1.91</v>
      </c>
      <c r="J26">
        <v>1.93</v>
      </c>
      <c r="K26">
        <v>1.32</v>
      </c>
      <c r="L26">
        <v>1.29</v>
      </c>
      <c r="M26">
        <v>1.3</v>
      </c>
      <c r="N26">
        <v>1.19</v>
      </c>
      <c r="O26">
        <v>1.1599999999999999</v>
      </c>
      <c r="P26">
        <v>1.19</v>
      </c>
      <c r="Q26">
        <v>1.24</v>
      </c>
      <c r="R26">
        <v>1.26</v>
      </c>
      <c r="S26">
        <v>1.19</v>
      </c>
      <c r="T26">
        <v>1.1599999999999999</v>
      </c>
      <c r="U26">
        <v>1.18</v>
      </c>
      <c r="V26">
        <v>1.17</v>
      </c>
      <c r="W26">
        <v>1.07</v>
      </c>
      <c r="X26">
        <v>1</v>
      </c>
      <c r="Y26">
        <v>0.98</v>
      </c>
      <c r="Z26">
        <v>1.1599999999999999</v>
      </c>
      <c r="AA26">
        <v>1.1499999999999999</v>
      </c>
      <c r="AB26">
        <v>1.1000000000000001</v>
      </c>
      <c r="AC26">
        <v>1.3</v>
      </c>
      <c r="AD26">
        <v>1.28</v>
      </c>
      <c r="AE26">
        <v>1.29</v>
      </c>
      <c r="AF26">
        <v>1.24</v>
      </c>
      <c r="AG26">
        <v>1.26</v>
      </c>
      <c r="AH26">
        <v>1.21</v>
      </c>
      <c r="AI26">
        <v>1.3</v>
      </c>
      <c r="AJ26">
        <v>1.26</v>
      </c>
      <c r="AK26">
        <v>1.3</v>
      </c>
      <c r="AL26">
        <v>1.26</v>
      </c>
      <c r="AM26">
        <v>1.24</v>
      </c>
      <c r="AN26">
        <v>1.19</v>
      </c>
      <c r="AO26">
        <v>1.34</v>
      </c>
      <c r="AP26">
        <v>1.36</v>
      </c>
      <c r="AQ26">
        <v>1.29</v>
      </c>
      <c r="AR26">
        <v>1.19</v>
      </c>
      <c r="AS26">
        <v>1.2</v>
      </c>
      <c r="AT26">
        <v>1.19</v>
      </c>
      <c r="AU26">
        <v>1.36</v>
      </c>
      <c r="AV26">
        <v>1.31</v>
      </c>
      <c r="AW26">
        <v>1.3</v>
      </c>
      <c r="BY26">
        <v>1.44</v>
      </c>
      <c r="BZ26">
        <v>1.42</v>
      </c>
      <c r="CA26">
        <v>1.4</v>
      </c>
      <c r="CB26">
        <v>2.31</v>
      </c>
      <c r="CC26">
        <v>2.2999999999999998</v>
      </c>
      <c r="CD26">
        <v>2.3199999999999998</v>
      </c>
    </row>
    <row r="27" spans="1:82">
      <c r="A27">
        <v>10433939</v>
      </c>
      <c r="B27" s="95">
        <v>46174</v>
      </c>
      <c r="C27" s="96">
        <v>0.7625925925925926</v>
      </c>
      <c r="D27">
        <v>94.325999999999993</v>
      </c>
      <c r="E27">
        <v>1.86</v>
      </c>
      <c r="F27">
        <v>1.89</v>
      </c>
      <c r="G27">
        <v>1.92</v>
      </c>
      <c r="H27">
        <v>1.93</v>
      </c>
      <c r="I27">
        <v>1.91</v>
      </c>
      <c r="J27">
        <v>1.93</v>
      </c>
      <c r="K27">
        <v>1.36</v>
      </c>
      <c r="L27">
        <v>1.35</v>
      </c>
      <c r="M27">
        <v>1.37</v>
      </c>
      <c r="N27">
        <v>1.1599999999999999</v>
      </c>
      <c r="O27">
        <v>1.18</v>
      </c>
      <c r="P27">
        <v>1.1599999999999999</v>
      </c>
      <c r="Q27">
        <v>1.26</v>
      </c>
      <c r="R27">
        <v>1.21</v>
      </c>
      <c r="S27">
        <v>1.22</v>
      </c>
      <c r="T27">
        <v>1.1399999999999999</v>
      </c>
      <c r="U27">
        <v>1.1499999999999999</v>
      </c>
      <c r="V27">
        <v>1.1499999999999999</v>
      </c>
      <c r="W27">
        <v>1.01</v>
      </c>
      <c r="X27">
        <v>0.97</v>
      </c>
      <c r="Y27">
        <v>0.97</v>
      </c>
      <c r="Z27">
        <v>1.1599999999999999</v>
      </c>
      <c r="AA27">
        <v>1.1100000000000001</v>
      </c>
      <c r="AB27">
        <v>1.0900000000000001</v>
      </c>
      <c r="AC27">
        <v>1.34</v>
      </c>
      <c r="AD27">
        <v>1.3</v>
      </c>
      <c r="AE27">
        <v>1.31</v>
      </c>
      <c r="AF27">
        <v>1.24</v>
      </c>
      <c r="AG27">
        <v>1.25</v>
      </c>
      <c r="AH27">
        <v>1.22</v>
      </c>
      <c r="AI27">
        <v>1.31</v>
      </c>
      <c r="AJ27">
        <v>1.39</v>
      </c>
      <c r="AK27">
        <v>1.29</v>
      </c>
      <c r="AL27">
        <v>1.25</v>
      </c>
      <c r="AM27">
        <v>1.22</v>
      </c>
      <c r="AN27">
        <v>1.2</v>
      </c>
      <c r="AO27">
        <v>1.36</v>
      </c>
      <c r="AP27">
        <v>1.33</v>
      </c>
      <c r="AQ27">
        <v>1.3</v>
      </c>
      <c r="AR27">
        <v>1.1499999999999999</v>
      </c>
      <c r="AS27">
        <v>1.1599999999999999</v>
      </c>
      <c r="AT27">
        <v>1.1599999999999999</v>
      </c>
      <c r="AU27">
        <v>1.31</v>
      </c>
      <c r="AV27">
        <v>1.39</v>
      </c>
      <c r="AW27">
        <v>1.31</v>
      </c>
      <c r="BY27">
        <v>1.46</v>
      </c>
      <c r="BZ27">
        <v>1.41</v>
      </c>
      <c r="CA27">
        <v>1.38</v>
      </c>
      <c r="CB27">
        <v>2.34</v>
      </c>
      <c r="CC27">
        <v>2.36</v>
      </c>
      <c r="CD27">
        <v>2.3199999999999998</v>
      </c>
    </row>
    <row r="28" spans="1:82">
      <c r="A28">
        <v>10433939</v>
      </c>
      <c r="B28" s="95">
        <v>46174</v>
      </c>
      <c r="C28" s="96">
        <v>0.76379629629629631</v>
      </c>
      <c r="D28">
        <v>94.305000000000007</v>
      </c>
      <c r="E28">
        <v>1.89</v>
      </c>
      <c r="F28">
        <v>1.94</v>
      </c>
      <c r="G28">
        <v>1.9</v>
      </c>
      <c r="H28">
        <v>1.96</v>
      </c>
      <c r="I28">
        <v>1.9</v>
      </c>
      <c r="J28">
        <v>1.91</v>
      </c>
      <c r="K28">
        <v>1.34</v>
      </c>
      <c r="L28">
        <v>1.36</v>
      </c>
      <c r="M28">
        <v>1.34</v>
      </c>
      <c r="N28">
        <v>1.17</v>
      </c>
      <c r="O28">
        <v>1.1599999999999999</v>
      </c>
      <c r="P28">
        <v>1.19</v>
      </c>
      <c r="Q28">
        <v>1.25</v>
      </c>
      <c r="R28">
        <v>1.26</v>
      </c>
      <c r="S28">
        <v>1.26</v>
      </c>
      <c r="T28">
        <v>1.2</v>
      </c>
      <c r="U28">
        <v>1.18</v>
      </c>
      <c r="V28">
        <v>1.1599999999999999</v>
      </c>
      <c r="W28">
        <v>1.07</v>
      </c>
      <c r="X28">
        <v>1.03</v>
      </c>
      <c r="Y28">
        <v>1</v>
      </c>
      <c r="Z28">
        <v>1.1499999999999999</v>
      </c>
      <c r="AA28">
        <v>1.1399999999999999</v>
      </c>
      <c r="AB28">
        <v>1.1100000000000001</v>
      </c>
      <c r="AC28">
        <v>1.36</v>
      </c>
      <c r="AD28">
        <v>1.32</v>
      </c>
      <c r="AE28">
        <v>1.3</v>
      </c>
      <c r="AF28">
        <v>1.26</v>
      </c>
      <c r="AG28">
        <v>1.29</v>
      </c>
      <c r="AH28">
        <v>1.26</v>
      </c>
      <c r="AI28">
        <v>1.29</v>
      </c>
      <c r="AJ28">
        <v>1.32</v>
      </c>
      <c r="AK28">
        <v>1.31</v>
      </c>
      <c r="AL28">
        <v>1.27</v>
      </c>
      <c r="AM28">
        <v>1.26</v>
      </c>
      <c r="AN28">
        <v>1.18</v>
      </c>
      <c r="AO28">
        <v>1.35</v>
      </c>
      <c r="AP28">
        <v>1.34</v>
      </c>
      <c r="AQ28">
        <v>1.32</v>
      </c>
      <c r="AR28">
        <v>1.19</v>
      </c>
      <c r="AS28">
        <v>1.2</v>
      </c>
      <c r="AT28">
        <v>1.19</v>
      </c>
      <c r="AU28">
        <v>1.3</v>
      </c>
      <c r="AV28">
        <v>1.36</v>
      </c>
      <c r="AW28">
        <v>1.3</v>
      </c>
      <c r="BY28">
        <v>1.47</v>
      </c>
      <c r="BZ28">
        <v>1.45</v>
      </c>
      <c r="CA28">
        <v>1.4</v>
      </c>
      <c r="CB28">
        <v>2.36</v>
      </c>
      <c r="CC28">
        <v>2.39</v>
      </c>
      <c r="CD28">
        <v>2.31</v>
      </c>
    </row>
    <row r="29" spans="1:82">
      <c r="A29">
        <v>10433939</v>
      </c>
      <c r="B29" s="95">
        <v>46175</v>
      </c>
      <c r="C29" s="96">
        <v>0.66295138888888894</v>
      </c>
      <c r="D29">
        <v>94.209000000000003</v>
      </c>
      <c r="E29">
        <v>1.86</v>
      </c>
      <c r="F29">
        <v>1.95</v>
      </c>
      <c r="G29">
        <v>1.91</v>
      </c>
      <c r="H29">
        <v>1.94</v>
      </c>
      <c r="I29">
        <v>1.93</v>
      </c>
      <c r="J29">
        <v>1.93</v>
      </c>
      <c r="K29">
        <v>1.43</v>
      </c>
      <c r="L29">
        <v>1.46</v>
      </c>
      <c r="M29">
        <v>1.42</v>
      </c>
      <c r="N29">
        <v>1.18</v>
      </c>
      <c r="O29">
        <v>1.17</v>
      </c>
      <c r="P29">
        <v>1.17</v>
      </c>
      <c r="Q29">
        <v>1.24</v>
      </c>
      <c r="R29">
        <v>1.25</v>
      </c>
      <c r="S29">
        <v>1.23</v>
      </c>
      <c r="T29">
        <v>1.18</v>
      </c>
      <c r="U29">
        <v>1.1499999999999999</v>
      </c>
      <c r="V29">
        <v>1.18</v>
      </c>
      <c r="W29">
        <v>1.02</v>
      </c>
      <c r="X29">
        <v>0.97</v>
      </c>
      <c r="Y29">
        <v>1</v>
      </c>
      <c r="Z29">
        <v>1.1299999999999999</v>
      </c>
      <c r="AA29">
        <v>1.1000000000000001</v>
      </c>
      <c r="AB29">
        <v>1.1100000000000001</v>
      </c>
      <c r="AC29">
        <v>1.36</v>
      </c>
      <c r="AD29">
        <v>1.31</v>
      </c>
      <c r="AE29">
        <v>1.3</v>
      </c>
      <c r="AF29">
        <v>1.24</v>
      </c>
      <c r="AG29">
        <v>1.23</v>
      </c>
      <c r="AH29">
        <v>1.23</v>
      </c>
      <c r="AI29">
        <v>1.28</v>
      </c>
      <c r="AJ29">
        <v>1.28</v>
      </c>
      <c r="AK29">
        <v>1.23</v>
      </c>
      <c r="AL29">
        <v>1.22</v>
      </c>
      <c r="AM29">
        <v>1.2</v>
      </c>
      <c r="AN29">
        <v>1.19</v>
      </c>
      <c r="AO29">
        <v>1.38</v>
      </c>
      <c r="AP29">
        <v>1.42</v>
      </c>
      <c r="AQ29">
        <v>1.35</v>
      </c>
      <c r="AR29">
        <v>1.1599999999999999</v>
      </c>
      <c r="AS29">
        <v>1.18</v>
      </c>
      <c r="AT29">
        <v>1.19</v>
      </c>
      <c r="AU29">
        <v>1.36</v>
      </c>
      <c r="AV29">
        <v>1.36</v>
      </c>
      <c r="AW29">
        <v>1.29</v>
      </c>
      <c r="BY29">
        <v>1.48</v>
      </c>
      <c r="BZ29">
        <v>1.41</v>
      </c>
      <c r="CA29">
        <v>1.4</v>
      </c>
      <c r="CB29">
        <v>2.39</v>
      </c>
      <c r="CC29">
        <v>2.34</v>
      </c>
      <c r="CD29">
        <v>2.34</v>
      </c>
    </row>
    <row r="30" spans="1:82">
      <c r="A30">
        <v>10433939</v>
      </c>
      <c r="B30" s="95">
        <v>46175</v>
      </c>
      <c r="C30" s="96">
        <v>0.66460648148148149</v>
      </c>
      <c r="D30">
        <v>94.207999999999998</v>
      </c>
      <c r="E30">
        <v>1.86</v>
      </c>
      <c r="F30">
        <v>1.93</v>
      </c>
      <c r="G30">
        <v>1.92</v>
      </c>
      <c r="H30">
        <v>1.93</v>
      </c>
      <c r="I30">
        <v>1.92</v>
      </c>
      <c r="J30">
        <v>1.92</v>
      </c>
      <c r="K30">
        <v>1.42</v>
      </c>
      <c r="L30">
        <v>1.46</v>
      </c>
      <c r="M30">
        <v>1.42</v>
      </c>
      <c r="N30">
        <v>1.18</v>
      </c>
      <c r="O30">
        <v>1.1599999999999999</v>
      </c>
      <c r="P30">
        <v>1.1599999999999999</v>
      </c>
      <c r="Q30">
        <v>1.23</v>
      </c>
      <c r="R30">
        <v>1.23</v>
      </c>
      <c r="S30">
        <v>1.2</v>
      </c>
      <c r="T30">
        <v>1.18</v>
      </c>
      <c r="U30">
        <v>1.1499999999999999</v>
      </c>
      <c r="V30">
        <v>1.1599999999999999</v>
      </c>
      <c r="W30">
        <v>1</v>
      </c>
      <c r="X30">
        <v>1</v>
      </c>
      <c r="Y30">
        <v>1.01</v>
      </c>
      <c r="Z30">
        <v>1.1200000000000001</v>
      </c>
      <c r="AA30">
        <v>1.1000000000000001</v>
      </c>
      <c r="AB30">
        <v>1.1100000000000001</v>
      </c>
      <c r="AC30">
        <v>1.36</v>
      </c>
      <c r="AD30">
        <v>1.31</v>
      </c>
      <c r="AE30">
        <v>1.3</v>
      </c>
      <c r="AF30">
        <v>1.24</v>
      </c>
      <c r="AG30">
        <v>1.23</v>
      </c>
      <c r="AH30">
        <v>1.23</v>
      </c>
      <c r="AI30">
        <v>1.28</v>
      </c>
      <c r="AJ30">
        <v>1.26</v>
      </c>
      <c r="AK30">
        <v>1.23</v>
      </c>
      <c r="AL30">
        <v>1.22</v>
      </c>
      <c r="AM30">
        <v>1.2</v>
      </c>
      <c r="AN30">
        <v>1.19</v>
      </c>
      <c r="AO30">
        <v>1.36</v>
      </c>
      <c r="AP30">
        <v>1.42</v>
      </c>
      <c r="AQ30">
        <v>1.35</v>
      </c>
      <c r="AR30">
        <v>1.1599999999999999</v>
      </c>
      <c r="AS30">
        <v>1.18</v>
      </c>
      <c r="AT30">
        <v>1.19</v>
      </c>
      <c r="AU30">
        <v>1.34</v>
      </c>
      <c r="AV30">
        <v>1.36</v>
      </c>
      <c r="AW30">
        <v>1.3</v>
      </c>
      <c r="BY30">
        <v>1.48</v>
      </c>
      <c r="BZ30">
        <v>1.42</v>
      </c>
      <c r="CA30">
        <v>1.42</v>
      </c>
      <c r="CB30">
        <v>2.36</v>
      </c>
      <c r="CC30">
        <v>2.34</v>
      </c>
      <c r="CD30">
        <v>2.33</v>
      </c>
    </row>
    <row r="31" spans="1:82">
      <c r="A31">
        <v>10433939</v>
      </c>
      <c r="B31" s="95">
        <v>46175</v>
      </c>
      <c r="C31" s="96">
        <v>0.66571759259259256</v>
      </c>
      <c r="D31">
        <v>94.234999999999999</v>
      </c>
      <c r="E31">
        <v>1.82</v>
      </c>
      <c r="F31">
        <v>1.86</v>
      </c>
      <c r="G31">
        <v>1.78</v>
      </c>
      <c r="H31">
        <v>1.94</v>
      </c>
      <c r="I31">
        <v>1.92</v>
      </c>
      <c r="J31">
        <v>1.92</v>
      </c>
      <c r="K31">
        <v>1.37</v>
      </c>
      <c r="L31">
        <v>1.36</v>
      </c>
      <c r="M31">
        <v>1.35</v>
      </c>
      <c r="N31">
        <v>1.18</v>
      </c>
      <c r="O31">
        <v>1.1599999999999999</v>
      </c>
      <c r="P31">
        <v>1.1499999999999999</v>
      </c>
      <c r="Q31">
        <v>1.22</v>
      </c>
      <c r="R31">
        <v>1.22</v>
      </c>
      <c r="S31">
        <v>1.24</v>
      </c>
      <c r="T31">
        <v>1.18</v>
      </c>
      <c r="U31">
        <v>1.1599999999999999</v>
      </c>
      <c r="V31">
        <v>1.17</v>
      </c>
      <c r="W31">
        <v>1</v>
      </c>
      <c r="X31">
        <v>0.99</v>
      </c>
      <c r="Y31">
        <v>0.99</v>
      </c>
      <c r="Z31">
        <v>1.1299999999999999</v>
      </c>
      <c r="AA31">
        <v>1.1100000000000001</v>
      </c>
      <c r="AB31">
        <v>1.1100000000000001</v>
      </c>
      <c r="AC31">
        <v>1.29</v>
      </c>
      <c r="AD31">
        <v>1.33</v>
      </c>
      <c r="AE31">
        <v>1.26</v>
      </c>
      <c r="AF31">
        <v>1.24</v>
      </c>
      <c r="AG31">
        <v>1.24</v>
      </c>
      <c r="AH31">
        <v>1.22</v>
      </c>
      <c r="AI31">
        <v>1.35</v>
      </c>
      <c r="AJ31">
        <v>1.29</v>
      </c>
      <c r="AK31">
        <v>1.23</v>
      </c>
      <c r="AL31">
        <v>1.21</v>
      </c>
      <c r="AM31">
        <v>1.19</v>
      </c>
      <c r="AN31">
        <v>1.18</v>
      </c>
      <c r="AO31">
        <v>1.36</v>
      </c>
      <c r="AP31">
        <v>1.31</v>
      </c>
      <c r="AQ31">
        <v>1.29</v>
      </c>
      <c r="AR31">
        <v>1.17</v>
      </c>
      <c r="AS31">
        <v>1.1599999999999999</v>
      </c>
      <c r="AT31">
        <v>1.19</v>
      </c>
      <c r="AU31">
        <v>1.32</v>
      </c>
      <c r="AV31">
        <v>1.33</v>
      </c>
      <c r="AW31">
        <v>1.29</v>
      </c>
      <c r="BY31">
        <v>1.52</v>
      </c>
      <c r="BZ31">
        <v>1.48</v>
      </c>
      <c r="CA31">
        <v>1.46</v>
      </c>
      <c r="CB31">
        <v>2.42</v>
      </c>
      <c r="CC31">
        <v>2.36</v>
      </c>
      <c r="CD31">
        <v>2.38</v>
      </c>
    </row>
    <row r="32" spans="1:82">
      <c r="A32">
        <v>10433939</v>
      </c>
      <c r="B32" s="95">
        <v>46175</v>
      </c>
      <c r="C32" s="96">
        <v>0.66685185185185181</v>
      </c>
      <c r="D32">
        <v>94.231999999999999</v>
      </c>
      <c r="E32">
        <v>1.83</v>
      </c>
      <c r="F32">
        <v>1.86</v>
      </c>
      <c r="G32">
        <v>1.8</v>
      </c>
      <c r="H32">
        <v>1.93</v>
      </c>
      <c r="I32">
        <v>1.92</v>
      </c>
      <c r="J32">
        <v>1.93</v>
      </c>
      <c r="K32">
        <v>1.36</v>
      </c>
      <c r="L32">
        <v>1.37</v>
      </c>
      <c r="M32">
        <v>1.36</v>
      </c>
      <c r="N32">
        <v>1.2</v>
      </c>
      <c r="O32">
        <v>1.2</v>
      </c>
      <c r="P32">
        <v>1.1599999999999999</v>
      </c>
      <c r="Q32">
        <v>1.22</v>
      </c>
      <c r="R32">
        <v>1.26</v>
      </c>
      <c r="S32">
        <v>1.24</v>
      </c>
      <c r="T32">
        <v>1.18</v>
      </c>
      <c r="U32">
        <v>1.1599999999999999</v>
      </c>
      <c r="V32">
        <v>1.17</v>
      </c>
      <c r="W32">
        <v>1</v>
      </c>
      <c r="X32">
        <v>1</v>
      </c>
      <c r="Y32">
        <v>1</v>
      </c>
      <c r="Z32">
        <v>1.1299999999999999</v>
      </c>
      <c r="AA32">
        <v>1.1100000000000001</v>
      </c>
      <c r="AB32">
        <v>1.1000000000000001</v>
      </c>
      <c r="AC32">
        <v>1.29</v>
      </c>
      <c r="AD32">
        <v>1.3</v>
      </c>
      <c r="AE32">
        <v>1.26</v>
      </c>
      <c r="AF32">
        <v>1.24</v>
      </c>
      <c r="AG32">
        <v>1.26</v>
      </c>
      <c r="AH32">
        <v>1.22</v>
      </c>
      <c r="AI32">
        <v>1.34</v>
      </c>
      <c r="AJ32">
        <v>1.29</v>
      </c>
      <c r="AK32">
        <v>1.26</v>
      </c>
      <c r="AL32">
        <v>1.2</v>
      </c>
      <c r="AM32">
        <v>1.2</v>
      </c>
      <c r="AN32">
        <v>1.19</v>
      </c>
      <c r="AO32">
        <v>1.36</v>
      </c>
      <c r="AP32">
        <v>1.32</v>
      </c>
      <c r="AQ32">
        <v>1.3</v>
      </c>
      <c r="AR32">
        <v>1.1599999999999999</v>
      </c>
      <c r="AS32">
        <v>1.1599999999999999</v>
      </c>
      <c r="AT32">
        <v>1.18</v>
      </c>
      <c r="AU32">
        <v>1.32</v>
      </c>
      <c r="AV32">
        <v>1.33</v>
      </c>
      <c r="AW32">
        <v>1.29</v>
      </c>
      <c r="BY32">
        <v>1.52</v>
      </c>
      <c r="BZ32">
        <v>1.48</v>
      </c>
      <c r="CA32">
        <v>1.46</v>
      </c>
      <c r="CB32">
        <v>2.42</v>
      </c>
      <c r="CC32">
        <v>2.39</v>
      </c>
      <c r="CD32">
        <v>2.38</v>
      </c>
    </row>
    <row r="33" spans="1:82">
      <c r="A33">
        <v>10433939</v>
      </c>
      <c r="B33" s="95">
        <v>46176</v>
      </c>
      <c r="C33" s="96">
        <v>0.72152777777777777</v>
      </c>
      <c r="D33">
        <v>94.23</v>
      </c>
      <c r="E33">
        <v>1.82</v>
      </c>
      <c r="F33">
        <v>1.84</v>
      </c>
      <c r="G33">
        <v>1.85</v>
      </c>
      <c r="H33">
        <v>1.94</v>
      </c>
      <c r="I33">
        <v>1.93</v>
      </c>
      <c r="J33">
        <v>1.94</v>
      </c>
      <c r="K33">
        <v>1.32</v>
      </c>
      <c r="L33">
        <v>1.32</v>
      </c>
      <c r="M33">
        <v>1.29</v>
      </c>
      <c r="N33">
        <v>1.17</v>
      </c>
      <c r="O33">
        <v>1.2</v>
      </c>
      <c r="P33">
        <v>1.19</v>
      </c>
      <c r="Q33">
        <v>1.2</v>
      </c>
      <c r="R33">
        <v>1.21</v>
      </c>
      <c r="S33">
        <v>1.18</v>
      </c>
      <c r="T33">
        <v>1.18</v>
      </c>
      <c r="U33">
        <v>1.17</v>
      </c>
      <c r="V33">
        <v>1.18</v>
      </c>
      <c r="W33">
        <v>1</v>
      </c>
      <c r="X33">
        <v>0.97</v>
      </c>
      <c r="Y33">
        <v>0.96</v>
      </c>
      <c r="Z33">
        <v>1.1000000000000001</v>
      </c>
      <c r="AA33">
        <v>1.1000000000000001</v>
      </c>
      <c r="AB33">
        <v>1.1000000000000001</v>
      </c>
      <c r="AC33">
        <v>1.38</v>
      </c>
      <c r="AD33">
        <v>1.3</v>
      </c>
      <c r="AE33">
        <v>1.27</v>
      </c>
      <c r="AF33">
        <v>1.25</v>
      </c>
      <c r="AG33">
        <v>1.26</v>
      </c>
      <c r="AH33">
        <v>1.26</v>
      </c>
      <c r="AI33">
        <v>1.37</v>
      </c>
      <c r="AJ33">
        <v>1.29</v>
      </c>
      <c r="AK33">
        <v>1.29</v>
      </c>
      <c r="AL33">
        <v>1.23</v>
      </c>
      <c r="AM33">
        <v>1.23</v>
      </c>
      <c r="AN33">
        <v>1.21</v>
      </c>
      <c r="AO33">
        <v>1.32</v>
      </c>
      <c r="AP33">
        <v>1.36</v>
      </c>
      <c r="AQ33">
        <v>1.41</v>
      </c>
      <c r="AR33">
        <v>1.2</v>
      </c>
      <c r="AS33">
        <v>1.22</v>
      </c>
      <c r="AT33">
        <v>1.22</v>
      </c>
      <c r="AU33">
        <v>1.36</v>
      </c>
      <c r="AV33">
        <v>1.38</v>
      </c>
      <c r="AW33">
        <v>1.31</v>
      </c>
      <c r="BY33">
        <v>1.49</v>
      </c>
      <c r="BZ33">
        <v>1.45</v>
      </c>
      <c r="CA33">
        <v>1.46</v>
      </c>
      <c r="CB33">
        <v>2.37</v>
      </c>
      <c r="CC33">
        <v>2.36</v>
      </c>
      <c r="CD33">
        <v>2.37</v>
      </c>
    </row>
    <row r="34" spans="1:82">
      <c r="A34">
        <v>10433939</v>
      </c>
      <c r="B34" s="95">
        <v>46176</v>
      </c>
      <c r="C34" s="96">
        <v>0.72265046296296298</v>
      </c>
      <c r="D34">
        <v>94.245999999999995</v>
      </c>
      <c r="E34">
        <v>1.86</v>
      </c>
      <c r="F34">
        <v>1.85</v>
      </c>
      <c r="G34">
        <v>1.82</v>
      </c>
      <c r="H34">
        <v>1.91</v>
      </c>
      <c r="I34">
        <v>1.96</v>
      </c>
      <c r="J34">
        <v>1.92</v>
      </c>
      <c r="K34">
        <v>1.3</v>
      </c>
      <c r="L34">
        <v>1.29</v>
      </c>
      <c r="M34">
        <v>1.31</v>
      </c>
      <c r="N34">
        <v>1.26</v>
      </c>
      <c r="O34">
        <v>1.24</v>
      </c>
      <c r="P34">
        <v>1.21</v>
      </c>
      <c r="Q34">
        <v>1.19</v>
      </c>
      <c r="R34">
        <v>1.26</v>
      </c>
      <c r="S34">
        <v>1.2</v>
      </c>
      <c r="T34">
        <v>1.2</v>
      </c>
      <c r="U34">
        <v>1.19</v>
      </c>
      <c r="V34">
        <v>1.21</v>
      </c>
      <c r="W34">
        <v>1.07</v>
      </c>
      <c r="X34">
        <v>1.01</v>
      </c>
      <c r="Y34">
        <v>1.03</v>
      </c>
      <c r="Z34">
        <v>1.1599999999999999</v>
      </c>
      <c r="AA34">
        <v>1.1200000000000001</v>
      </c>
      <c r="AB34">
        <v>1.1399999999999999</v>
      </c>
      <c r="AC34">
        <v>1.31</v>
      </c>
      <c r="AD34">
        <v>1.36</v>
      </c>
      <c r="AE34">
        <v>1.35</v>
      </c>
      <c r="AF34">
        <v>1.29</v>
      </c>
      <c r="AG34">
        <v>1.31</v>
      </c>
      <c r="AH34">
        <v>1.25</v>
      </c>
      <c r="AI34">
        <v>1.39</v>
      </c>
      <c r="AJ34">
        <v>1.31</v>
      </c>
      <c r="AK34">
        <v>1.32</v>
      </c>
      <c r="AL34">
        <v>1.26</v>
      </c>
      <c r="AM34">
        <v>1.27</v>
      </c>
      <c r="AN34">
        <v>1.19</v>
      </c>
      <c r="AO34">
        <v>1.3</v>
      </c>
      <c r="AP34">
        <v>1.32</v>
      </c>
      <c r="AQ34">
        <v>1.36</v>
      </c>
      <c r="AR34">
        <v>1.19</v>
      </c>
      <c r="AS34">
        <v>1.26</v>
      </c>
      <c r="AT34">
        <v>1.19</v>
      </c>
      <c r="AU34">
        <v>1.34</v>
      </c>
      <c r="AV34">
        <v>1.36</v>
      </c>
      <c r="AW34">
        <v>1.3</v>
      </c>
      <c r="BY34">
        <v>1.46</v>
      </c>
      <c r="BZ34">
        <v>1.44</v>
      </c>
      <c r="CA34">
        <v>1.41</v>
      </c>
      <c r="CB34">
        <v>2.36</v>
      </c>
      <c r="CC34">
        <v>2.37</v>
      </c>
      <c r="CD34">
        <v>2.35</v>
      </c>
    </row>
    <row r="35" spans="1:82">
      <c r="A35">
        <v>10433939</v>
      </c>
      <c r="B35" s="95">
        <v>46176</v>
      </c>
      <c r="C35" s="96">
        <v>0.72373842592592597</v>
      </c>
      <c r="D35">
        <v>44.140999999999998</v>
      </c>
      <c r="E35">
        <v>1.84</v>
      </c>
      <c r="F35">
        <v>1.86</v>
      </c>
      <c r="G35">
        <v>1.83</v>
      </c>
      <c r="H35">
        <v>1.94</v>
      </c>
      <c r="I35">
        <v>1.93</v>
      </c>
      <c r="J35">
        <v>1.9</v>
      </c>
      <c r="K35">
        <v>1.3</v>
      </c>
      <c r="L35">
        <v>1.33</v>
      </c>
      <c r="M35">
        <v>1.31</v>
      </c>
      <c r="N35">
        <v>1.18</v>
      </c>
      <c r="O35">
        <v>1.19</v>
      </c>
      <c r="P35">
        <v>1.18</v>
      </c>
      <c r="Q35">
        <v>1.22</v>
      </c>
      <c r="R35">
        <v>1.24</v>
      </c>
      <c r="S35">
        <v>1.21</v>
      </c>
      <c r="T35">
        <v>1.1599999999999999</v>
      </c>
      <c r="U35">
        <v>1.1499999999999999</v>
      </c>
      <c r="V35">
        <v>1.1599999999999999</v>
      </c>
      <c r="W35">
        <v>1.01</v>
      </c>
      <c r="X35">
        <v>0.99</v>
      </c>
      <c r="Y35">
        <v>0.99</v>
      </c>
      <c r="Z35">
        <v>1.1100000000000001</v>
      </c>
      <c r="AA35">
        <v>1.0900000000000001</v>
      </c>
      <c r="AB35">
        <v>1.1000000000000001</v>
      </c>
      <c r="AC35">
        <v>1.26</v>
      </c>
      <c r="AD35">
        <v>1.29</v>
      </c>
      <c r="AE35">
        <v>1.25</v>
      </c>
      <c r="AF35">
        <v>1.25</v>
      </c>
      <c r="AG35">
        <v>1.24</v>
      </c>
      <c r="AH35">
        <v>1.25</v>
      </c>
      <c r="AI35">
        <v>1.28</v>
      </c>
      <c r="AJ35">
        <v>1.28</v>
      </c>
      <c r="AK35">
        <v>1.31</v>
      </c>
      <c r="AL35">
        <v>1.22</v>
      </c>
      <c r="AM35">
        <v>1.22</v>
      </c>
      <c r="AN35">
        <v>1.2</v>
      </c>
      <c r="AO35">
        <v>1.38</v>
      </c>
      <c r="AP35">
        <v>1.37</v>
      </c>
      <c r="AQ35">
        <v>1.32</v>
      </c>
      <c r="AR35">
        <v>1.1599999999999999</v>
      </c>
      <c r="AS35">
        <v>1.19</v>
      </c>
      <c r="AT35">
        <v>1.2</v>
      </c>
      <c r="AU35">
        <v>1.4</v>
      </c>
      <c r="AV35">
        <v>1.34</v>
      </c>
      <c r="AW35">
        <v>1.36</v>
      </c>
      <c r="BY35">
        <v>1.51</v>
      </c>
      <c r="BZ35">
        <v>1.43</v>
      </c>
      <c r="CA35">
        <v>1.44</v>
      </c>
      <c r="CB35">
        <v>2.39</v>
      </c>
      <c r="CC35">
        <v>2.34</v>
      </c>
      <c r="CD35">
        <v>2.35</v>
      </c>
    </row>
    <row r="36" spans="1:82">
      <c r="A36">
        <v>10433939</v>
      </c>
      <c r="B36" s="95">
        <v>46176</v>
      </c>
      <c r="C36" s="96">
        <v>0.72498842592592594</v>
      </c>
      <c r="D36">
        <v>94.191999999999993</v>
      </c>
      <c r="E36">
        <v>1.81</v>
      </c>
      <c r="F36">
        <v>1.84</v>
      </c>
      <c r="G36">
        <v>1.8</v>
      </c>
      <c r="H36">
        <v>1.92</v>
      </c>
      <c r="I36">
        <v>1.96</v>
      </c>
      <c r="J36">
        <v>1.94</v>
      </c>
      <c r="K36">
        <v>1.36</v>
      </c>
      <c r="L36">
        <v>1.31</v>
      </c>
      <c r="M36">
        <v>1.29</v>
      </c>
      <c r="N36">
        <v>1.19</v>
      </c>
      <c r="O36">
        <v>1.1599999999999999</v>
      </c>
      <c r="P36">
        <v>1.2</v>
      </c>
      <c r="Q36">
        <v>1.18</v>
      </c>
      <c r="R36">
        <v>1.2</v>
      </c>
      <c r="S36">
        <v>1.21</v>
      </c>
      <c r="T36">
        <v>1.17</v>
      </c>
      <c r="U36">
        <v>1.19</v>
      </c>
      <c r="V36">
        <v>1.1599999999999999</v>
      </c>
      <c r="W36">
        <v>1.07</v>
      </c>
      <c r="X36">
        <v>1.05</v>
      </c>
      <c r="Y36">
        <v>1.06</v>
      </c>
      <c r="Z36">
        <v>1.1599999999999999</v>
      </c>
      <c r="AA36">
        <v>1.1000000000000001</v>
      </c>
      <c r="AB36">
        <v>1.0900000000000001</v>
      </c>
      <c r="AC36">
        <v>1.29</v>
      </c>
      <c r="AD36">
        <v>1.32</v>
      </c>
      <c r="AE36">
        <v>1.28</v>
      </c>
      <c r="AF36">
        <v>1.26</v>
      </c>
      <c r="AG36">
        <v>1.29</v>
      </c>
      <c r="AH36">
        <v>1.27</v>
      </c>
      <c r="AI36">
        <v>1.31</v>
      </c>
      <c r="AJ36">
        <v>1.26</v>
      </c>
      <c r="AK36">
        <v>1.29</v>
      </c>
      <c r="AL36">
        <v>1.26</v>
      </c>
      <c r="AM36">
        <v>1.25</v>
      </c>
      <c r="AN36">
        <v>1.26</v>
      </c>
      <c r="AO36">
        <v>1.37</v>
      </c>
      <c r="AP36">
        <v>1.38</v>
      </c>
      <c r="AQ36">
        <v>1.36</v>
      </c>
      <c r="AR36">
        <v>1.19</v>
      </c>
      <c r="AS36">
        <v>1.22</v>
      </c>
      <c r="AT36">
        <v>1.18</v>
      </c>
      <c r="AU36">
        <v>1.39</v>
      </c>
      <c r="AV36">
        <v>1.36</v>
      </c>
      <c r="AW36">
        <v>1.34</v>
      </c>
      <c r="BY36">
        <v>1.5</v>
      </c>
      <c r="BZ36">
        <v>1.46</v>
      </c>
      <c r="CA36">
        <v>1.48</v>
      </c>
      <c r="CB36">
        <v>2.38</v>
      </c>
      <c r="CC36">
        <v>2.36</v>
      </c>
      <c r="CD36">
        <v>2.38</v>
      </c>
    </row>
    <row r="37" spans="1:82">
      <c r="A37">
        <v>10433939</v>
      </c>
      <c r="B37" s="95">
        <v>46177</v>
      </c>
      <c r="C37" s="96">
        <v>0.66350694444444447</v>
      </c>
      <c r="D37">
        <v>94.558999999999997</v>
      </c>
      <c r="E37">
        <v>1.89</v>
      </c>
      <c r="F37">
        <v>1.92</v>
      </c>
      <c r="G37">
        <v>1.89</v>
      </c>
      <c r="H37">
        <v>1.95</v>
      </c>
      <c r="I37">
        <v>1.93</v>
      </c>
      <c r="J37">
        <v>1.93</v>
      </c>
      <c r="K37">
        <v>1.4</v>
      </c>
      <c r="L37">
        <v>1.46</v>
      </c>
      <c r="M37">
        <v>1.42</v>
      </c>
      <c r="N37">
        <v>1.19</v>
      </c>
      <c r="O37">
        <v>1.21</v>
      </c>
      <c r="P37">
        <v>1.18</v>
      </c>
      <c r="Q37">
        <v>1.22</v>
      </c>
      <c r="R37">
        <v>1.26</v>
      </c>
      <c r="S37">
        <v>1.2</v>
      </c>
      <c r="T37">
        <v>1.18</v>
      </c>
      <c r="U37">
        <v>1.17</v>
      </c>
      <c r="V37">
        <v>1.17</v>
      </c>
      <c r="W37">
        <v>1.01</v>
      </c>
      <c r="X37">
        <v>1</v>
      </c>
      <c r="Y37">
        <v>0.99</v>
      </c>
      <c r="Z37">
        <v>1.1299999999999999</v>
      </c>
      <c r="AA37">
        <v>1.1599999999999999</v>
      </c>
      <c r="AB37">
        <v>1.1100000000000001</v>
      </c>
      <c r="AC37">
        <v>1.32</v>
      </c>
      <c r="AD37">
        <v>1.3</v>
      </c>
      <c r="AE37">
        <v>1.28</v>
      </c>
      <c r="AF37">
        <v>1.24</v>
      </c>
      <c r="AG37">
        <v>1.23</v>
      </c>
      <c r="AH37">
        <v>1.23</v>
      </c>
      <c r="AI37">
        <v>1.32</v>
      </c>
      <c r="AJ37">
        <v>1.26</v>
      </c>
      <c r="AK37">
        <v>1.26</v>
      </c>
      <c r="AL37">
        <v>1.22</v>
      </c>
      <c r="AM37">
        <v>1.21</v>
      </c>
      <c r="AN37">
        <v>1.18</v>
      </c>
      <c r="AO37">
        <v>1.37</v>
      </c>
      <c r="AP37">
        <v>1.4</v>
      </c>
      <c r="AQ37">
        <v>1.29</v>
      </c>
      <c r="AR37">
        <v>1.1599999999999999</v>
      </c>
      <c r="AS37">
        <v>1.1599999999999999</v>
      </c>
      <c r="AT37">
        <v>1.1599999999999999</v>
      </c>
      <c r="AU37">
        <v>1.36</v>
      </c>
      <c r="AV37">
        <v>1.39</v>
      </c>
      <c r="AW37">
        <v>1.26</v>
      </c>
      <c r="BY37">
        <v>1.44</v>
      </c>
      <c r="BZ37">
        <v>1.42</v>
      </c>
      <c r="CA37">
        <v>1.39</v>
      </c>
      <c r="CB37">
        <v>2.2999999999999998</v>
      </c>
      <c r="CC37">
        <v>2.33</v>
      </c>
      <c r="CD37">
        <v>2.29</v>
      </c>
    </row>
    <row r="38" spans="1:82">
      <c r="A38">
        <v>10433939</v>
      </c>
      <c r="B38" s="95">
        <v>46177</v>
      </c>
      <c r="C38" s="96">
        <v>0.66446759259259258</v>
      </c>
      <c r="D38">
        <v>94.56</v>
      </c>
      <c r="E38">
        <v>1.9</v>
      </c>
      <c r="F38">
        <v>1.92</v>
      </c>
      <c r="G38">
        <v>1.89</v>
      </c>
      <c r="H38">
        <v>1.95</v>
      </c>
      <c r="I38">
        <v>1.93</v>
      </c>
      <c r="J38">
        <v>1.91</v>
      </c>
      <c r="K38">
        <v>1.39</v>
      </c>
      <c r="L38">
        <v>1.46</v>
      </c>
      <c r="M38">
        <v>1.42</v>
      </c>
      <c r="N38">
        <v>1.2</v>
      </c>
      <c r="O38">
        <v>1.21</v>
      </c>
      <c r="P38">
        <v>1.18</v>
      </c>
      <c r="Q38">
        <v>1.23</v>
      </c>
      <c r="R38">
        <v>1.26</v>
      </c>
      <c r="S38">
        <v>1.2</v>
      </c>
      <c r="T38">
        <v>1.21</v>
      </c>
      <c r="U38">
        <v>1.17</v>
      </c>
      <c r="V38">
        <v>1.18</v>
      </c>
      <c r="W38">
        <v>1.01</v>
      </c>
      <c r="X38">
        <v>1</v>
      </c>
      <c r="Y38">
        <v>1</v>
      </c>
      <c r="Z38">
        <v>1.1200000000000001</v>
      </c>
      <c r="AA38">
        <v>1.1599999999999999</v>
      </c>
      <c r="AB38">
        <v>1.1200000000000001</v>
      </c>
      <c r="AC38">
        <v>1.32</v>
      </c>
      <c r="AD38">
        <v>1.3</v>
      </c>
      <c r="AE38">
        <v>1.29</v>
      </c>
      <c r="AF38">
        <v>1.26</v>
      </c>
      <c r="AG38">
        <v>1.23</v>
      </c>
      <c r="AH38">
        <v>1.26</v>
      </c>
      <c r="AI38">
        <v>1.32</v>
      </c>
      <c r="AJ38">
        <v>1.3</v>
      </c>
      <c r="AK38">
        <v>1.26</v>
      </c>
      <c r="AL38">
        <v>1.23</v>
      </c>
      <c r="AM38">
        <v>1.21</v>
      </c>
      <c r="AN38">
        <v>1.2</v>
      </c>
      <c r="AO38">
        <v>1.36</v>
      </c>
      <c r="AP38">
        <v>1.39</v>
      </c>
      <c r="AQ38">
        <v>1.3</v>
      </c>
      <c r="AR38">
        <v>1.1599999999999999</v>
      </c>
      <c r="AS38">
        <v>1.17</v>
      </c>
      <c r="AT38">
        <v>1.17</v>
      </c>
      <c r="AU38">
        <v>1.36</v>
      </c>
      <c r="AV38">
        <v>1.38</v>
      </c>
      <c r="AW38">
        <v>1.26</v>
      </c>
      <c r="BY38">
        <v>1.44</v>
      </c>
      <c r="BZ38">
        <v>1.45</v>
      </c>
      <c r="CA38">
        <v>1.4</v>
      </c>
      <c r="CB38">
        <v>2.2999999999999998</v>
      </c>
      <c r="CC38">
        <v>2.34</v>
      </c>
      <c r="CD38">
        <v>2.29</v>
      </c>
    </row>
    <row r="39" spans="1:82">
      <c r="A39">
        <v>10433939</v>
      </c>
      <c r="B39" s="95">
        <v>46177</v>
      </c>
      <c r="C39" s="96">
        <v>0.66584490740740743</v>
      </c>
      <c r="D39">
        <v>94.555999999999997</v>
      </c>
      <c r="E39">
        <v>1.82</v>
      </c>
      <c r="F39">
        <v>1.86</v>
      </c>
      <c r="G39">
        <v>1.8</v>
      </c>
      <c r="H39">
        <v>1.95</v>
      </c>
      <c r="I39">
        <v>1.95</v>
      </c>
      <c r="J39">
        <v>1.94</v>
      </c>
      <c r="K39">
        <v>1.34</v>
      </c>
      <c r="L39">
        <v>1.41</v>
      </c>
      <c r="M39">
        <v>1.4</v>
      </c>
      <c r="N39">
        <v>1.18</v>
      </c>
      <c r="O39">
        <v>1.17</v>
      </c>
      <c r="P39">
        <v>1.17</v>
      </c>
      <c r="Q39">
        <v>1.24</v>
      </c>
      <c r="R39">
        <v>1.25</v>
      </c>
      <c r="S39">
        <v>1.24</v>
      </c>
      <c r="T39">
        <v>1.17</v>
      </c>
      <c r="U39">
        <v>1.1599999999999999</v>
      </c>
      <c r="V39">
        <v>1.1599999999999999</v>
      </c>
      <c r="W39">
        <v>1.02</v>
      </c>
      <c r="X39">
        <v>0.99</v>
      </c>
      <c r="Y39">
        <v>0.95</v>
      </c>
      <c r="Z39">
        <v>1.1599999999999999</v>
      </c>
      <c r="AA39">
        <v>1.1399999999999999</v>
      </c>
      <c r="AB39">
        <v>1.1000000000000001</v>
      </c>
      <c r="AC39">
        <v>1.33</v>
      </c>
      <c r="AD39">
        <v>1.34</v>
      </c>
      <c r="AE39">
        <v>1.31</v>
      </c>
      <c r="AF39">
        <v>1.24</v>
      </c>
      <c r="AG39">
        <v>1.24</v>
      </c>
      <c r="AH39">
        <v>1.23</v>
      </c>
      <c r="AI39">
        <v>1.28</v>
      </c>
      <c r="AJ39">
        <v>1.3</v>
      </c>
      <c r="AK39">
        <v>1.3</v>
      </c>
      <c r="AL39">
        <v>1.24</v>
      </c>
      <c r="AM39">
        <v>1.25</v>
      </c>
      <c r="AN39">
        <v>1.19</v>
      </c>
      <c r="AO39">
        <v>1.33</v>
      </c>
      <c r="AP39">
        <v>1.39</v>
      </c>
      <c r="AQ39">
        <v>1.4</v>
      </c>
      <c r="AR39">
        <v>1.1599999999999999</v>
      </c>
      <c r="AS39">
        <v>1.1599999999999999</v>
      </c>
      <c r="AT39">
        <v>1.1599999999999999</v>
      </c>
      <c r="AU39">
        <v>1.39</v>
      </c>
      <c r="AV39">
        <v>1.39</v>
      </c>
      <c r="AW39">
        <v>1.29</v>
      </c>
      <c r="BY39">
        <v>1.5</v>
      </c>
      <c r="BZ39">
        <v>1.5</v>
      </c>
      <c r="CA39">
        <v>1.39</v>
      </c>
      <c r="CB39">
        <v>2.34</v>
      </c>
      <c r="CC39">
        <v>2.36</v>
      </c>
      <c r="CD39">
        <v>2.33</v>
      </c>
    </row>
    <row r="40" spans="1:82">
      <c r="A40">
        <v>10433939</v>
      </c>
      <c r="B40" s="95">
        <v>46177</v>
      </c>
      <c r="C40" s="96">
        <v>0.66710648148148144</v>
      </c>
      <c r="D40">
        <v>94.587999999999994</v>
      </c>
      <c r="E40">
        <v>1.83</v>
      </c>
      <c r="F40">
        <v>1.86</v>
      </c>
      <c r="G40">
        <v>1.8</v>
      </c>
      <c r="H40">
        <v>1.96</v>
      </c>
      <c r="I40">
        <v>1.96</v>
      </c>
      <c r="J40">
        <v>1.94</v>
      </c>
      <c r="K40">
        <v>1.36</v>
      </c>
      <c r="L40">
        <v>1.4</v>
      </c>
      <c r="M40">
        <v>1.41</v>
      </c>
      <c r="N40">
        <v>1.2</v>
      </c>
      <c r="O40">
        <v>1.18</v>
      </c>
      <c r="P40">
        <v>1.19</v>
      </c>
      <c r="Q40">
        <v>1.23</v>
      </c>
      <c r="R40">
        <v>1.26</v>
      </c>
      <c r="S40">
        <v>1.25</v>
      </c>
      <c r="T40">
        <v>1.17</v>
      </c>
      <c r="U40">
        <v>1.1599999999999999</v>
      </c>
      <c r="V40">
        <v>1.17</v>
      </c>
      <c r="W40">
        <v>1.03</v>
      </c>
      <c r="X40">
        <v>1</v>
      </c>
      <c r="Y40">
        <v>0.95</v>
      </c>
      <c r="Z40">
        <v>1.1599999999999999</v>
      </c>
      <c r="AA40">
        <v>1.1399999999999999</v>
      </c>
      <c r="AB40">
        <v>1.1200000000000001</v>
      </c>
      <c r="AC40">
        <v>1.34</v>
      </c>
      <c r="AD40">
        <v>1.35</v>
      </c>
      <c r="AE40">
        <v>1.35</v>
      </c>
      <c r="AF40">
        <v>1.23</v>
      </c>
      <c r="AG40">
        <v>1.24</v>
      </c>
      <c r="AH40">
        <v>1.25</v>
      </c>
      <c r="AI40">
        <v>1.28</v>
      </c>
      <c r="AJ40">
        <v>1.3</v>
      </c>
      <c r="AK40">
        <v>1.29</v>
      </c>
      <c r="AL40">
        <v>1.24</v>
      </c>
      <c r="AM40">
        <v>1.23</v>
      </c>
      <c r="AN40">
        <v>1.2</v>
      </c>
      <c r="AO40">
        <v>1.33</v>
      </c>
      <c r="AP40">
        <v>1.38</v>
      </c>
      <c r="AQ40">
        <v>1.39</v>
      </c>
      <c r="AR40">
        <v>1.1599999999999999</v>
      </c>
      <c r="AS40">
        <v>1.1599999999999999</v>
      </c>
      <c r="AT40">
        <v>1.1599999999999999</v>
      </c>
      <c r="AU40">
        <v>1.39</v>
      </c>
      <c r="AV40">
        <v>1.39</v>
      </c>
      <c r="AW40">
        <v>1.3</v>
      </c>
      <c r="BY40">
        <v>1.5</v>
      </c>
      <c r="BZ40">
        <v>1.51</v>
      </c>
      <c r="CA40">
        <v>1.4</v>
      </c>
      <c r="CB40">
        <v>2.35</v>
      </c>
      <c r="CC40">
        <v>2.38</v>
      </c>
      <c r="CD40">
        <v>2.35</v>
      </c>
    </row>
    <row r="41" spans="1:82">
      <c r="A41">
        <v>10433939</v>
      </c>
      <c r="B41" s="95">
        <v>46177</v>
      </c>
      <c r="C41" s="96">
        <v>0.67957175925925928</v>
      </c>
      <c r="D41">
        <v>94.575999999999993</v>
      </c>
      <c r="E41">
        <v>1.86</v>
      </c>
      <c r="F41">
        <v>1.84</v>
      </c>
      <c r="G41">
        <v>1.92</v>
      </c>
      <c r="H41">
        <v>1.94</v>
      </c>
      <c r="I41">
        <v>1.92</v>
      </c>
      <c r="J41">
        <v>1.93</v>
      </c>
      <c r="K41">
        <v>1.42</v>
      </c>
      <c r="L41">
        <v>1.44</v>
      </c>
      <c r="M41">
        <v>1.43</v>
      </c>
      <c r="N41">
        <v>1.18</v>
      </c>
      <c r="O41">
        <v>1.17</v>
      </c>
      <c r="P41">
        <v>1.1599999999999999</v>
      </c>
      <c r="Q41">
        <v>1.26</v>
      </c>
      <c r="R41">
        <v>1.26</v>
      </c>
      <c r="S41">
        <v>1.26</v>
      </c>
      <c r="T41">
        <v>1.1599999999999999</v>
      </c>
      <c r="U41">
        <v>1.1599999999999999</v>
      </c>
      <c r="V41">
        <v>1.1599999999999999</v>
      </c>
      <c r="W41">
        <v>0.99</v>
      </c>
      <c r="X41">
        <v>1.02</v>
      </c>
      <c r="Y41">
        <v>0.96</v>
      </c>
      <c r="Z41">
        <v>1.1399999999999999</v>
      </c>
      <c r="AA41">
        <v>1.1200000000000001</v>
      </c>
      <c r="AB41">
        <v>1.0900000000000001</v>
      </c>
      <c r="AC41">
        <v>1.36</v>
      </c>
      <c r="AD41">
        <v>1.32</v>
      </c>
      <c r="AE41">
        <v>1.37</v>
      </c>
      <c r="AF41">
        <v>1.25</v>
      </c>
      <c r="AG41">
        <v>1.24</v>
      </c>
      <c r="AH41">
        <v>1.22</v>
      </c>
      <c r="AI41">
        <v>1.36</v>
      </c>
      <c r="AJ41">
        <v>1.37</v>
      </c>
      <c r="AK41">
        <v>1.3</v>
      </c>
      <c r="AL41">
        <v>1.22</v>
      </c>
      <c r="AM41">
        <v>1.21</v>
      </c>
      <c r="AN41">
        <v>1.17</v>
      </c>
      <c r="AO41">
        <v>1.45</v>
      </c>
      <c r="AP41">
        <v>1.5</v>
      </c>
      <c r="AQ41">
        <v>1.41</v>
      </c>
      <c r="AR41">
        <v>1.1599999999999999</v>
      </c>
      <c r="AS41">
        <v>1.1599999999999999</v>
      </c>
      <c r="AT41">
        <v>1.1599999999999999</v>
      </c>
      <c r="AU41">
        <v>1.37</v>
      </c>
      <c r="AV41">
        <v>1.35</v>
      </c>
      <c r="AW41">
        <v>1.38</v>
      </c>
      <c r="BY41">
        <v>1.44</v>
      </c>
      <c r="BZ41">
        <v>1.46</v>
      </c>
      <c r="CA41">
        <v>1.44</v>
      </c>
      <c r="CB41">
        <v>2.3199999999999998</v>
      </c>
      <c r="CC41">
        <v>2.35</v>
      </c>
      <c r="CD41">
        <v>2.36</v>
      </c>
    </row>
    <row r="42" spans="1:82">
      <c r="A42">
        <v>10433939</v>
      </c>
      <c r="B42" s="95">
        <v>46177</v>
      </c>
      <c r="C42" s="96">
        <v>0.68064814814814811</v>
      </c>
      <c r="D42">
        <v>94.551000000000002</v>
      </c>
      <c r="E42">
        <v>1.85</v>
      </c>
      <c r="F42">
        <v>1.87</v>
      </c>
      <c r="G42">
        <v>1.89</v>
      </c>
      <c r="H42">
        <v>1.96</v>
      </c>
      <c r="I42">
        <v>1.9</v>
      </c>
      <c r="J42">
        <v>1.91</v>
      </c>
      <c r="K42">
        <v>1.46</v>
      </c>
      <c r="L42">
        <v>1.44</v>
      </c>
      <c r="M42">
        <v>1.4</v>
      </c>
      <c r="N42">
        <v>1.19</v>
      </c>
      <c r="O42">
        <v>1.1599999999999999</v>
      </c>
      <c r="P42">
        <v>1.2</v>
      </c>
      <c r="Q42">
        <v>1.22</v>
      </c>
      <c r="R42">
        <v>1.24</v>
      </c>
      <c r="S42">
        <v>1.21</v>
      </c>
      <c r="T42">
        <v>1.19</v>
      </c>
      <c r="U42">
        <v>1.2</v>
      </c>
      <c r="V42">
        <v>1.19</v>
      </c>
      <c r="W42">
        <v>1.03</v>
      </c>
      <c r="X42">
        <v>1.06</v>
      </c>
      <c r="Y42">
        <v>1</v>
      </c>
      <c r="Z42">
        <v>1.1599999999999999</v>
      </c>
      <c r="AA42">
        <v>1.1499999999999999</v>
      </c>
      <c r="AB42">
        <v>1.1000000000000001</v>
      </c>
      <c r="AC42">
        <v>1.34</v>
      </c>
      <c r="AD42">
        <v>1.36</v>
      </c>
      <c r="AE42">
        <v>1.34</v>
      </c>
      <c r="AF42">
        <v>1.26</v>
      </c>
      <c r="AG42">
        <v>1.28</v>
      </c>
      <c r="AH42">
        <v>1.26</v>
      </c>
      <c r="AI42">
        <v>1.34</v>
      </c>
      <c r="AJ42">
        <v>1.31</v>
      </c>
      <c r="AK42">
        <v>1.29</v>
      </c>
      <c r="AL42">
        <v>1.29</v>
      </c>
      <c r="AM42">
        <v>1.26</v>
      </c>
      <c r="AN42">
        <v>1.21</v>
      </c>
      <c r="AO42">
        <v>1.36</v>
      </c>
      <c r="AP42">
        <v>1.35</v>
      </c>
      <c r="AQ42">
        <v>1.32</v>
      </c>
      <c r="AR42">
        <v>1.18</v>
      </c>
      <c r="AS42">
        <v>1.2</v>
      </c>
      <c r="AT42">
        <v>1.18</v>
      </c>
      <c r="AU42">
        <v>1.36</v>
      </c>
      <c r="AV42">
        <v>1.32</v>
      </c>
      <c r="AW42">
        <v>1.36</v>
      </c>
      <c r="BY42">
        <v>1.46</v>
      </c>
      <c r="BZ42">
        <v>1.45</v>
      </c>
      <c r="CA42">
        <v>1.47</v>
      </c>
      <c r="CB42">
        <v>2.34</v>
      </c>
      <c r="CC42">
        <v>2.34</v>
      </c>
      <c r="CD42">
        <v>2.31</v>
      </c>
    </row>
    <row r="43" spans="1:82">
      <c r="A43">
        <v>10433939</v>
      </c>
      <c r="B43" s="95">
        <v>46177</v>
      </c>
      <c r="C43" s="96">
        <v>0.68181712962962959</v>
      </c>
      <c r="D43">
        <v>94.81</v>
      </c>
      <c r="E43">
        <v>1.86</v>
      </c>
      <c r="F43">
        <v>1.82</v>
      </c>
      <c r="G43">
        <v>1.9</v>
      </c>
      <c r="H43">
        <v>1.94</v>
      </c>
      <c r="I43">
        <v>1.93</v>
      </c>
      <c r="J43">
        <v>1.92</v>
      </c>
      <c r="K43">
        <v>1.4</v>
      </c>
      <c r="L43">
        <v>1.44</v>
      </c>
      <c r="M43">
        <v>1.38</v>
      </c>
      <c r="N43">
        <v>1.1599999999999999</v>
      </c>
      <c r="O43">
        <v>1.2</v>
      </c>
      <c r="P43">
        <v>1.1599999999999999</v>
      </c>
      <c r="Q43">
        <v>1.25</v>
      </c>
      <c r="R43">
        <v>1.27</v>
      </c>
      <c r="S43">
        <v>1.23</v>
      </c>
      <c r="T43">
        <v>1.1599999999999999</v>
      </c>
      <c r="U43">
        <v>1.1499999999999999</v>
      </c>
      <c r="V43">
        <v>1.1299999999999999</v>
      </c>
      <c r="W43">
        <v>0.99</v>
      </c>
      <c r="X43">
        <v>1</v>
      </c>
      <c r="Y43">
        <v>0.96</v>
      </c>
      <c r="Z43">
        <v>1.17</v>
      </c>
      <c r="AA43">
        <v>1.1000000000000001</v>
      </c>
      <c r="AB43">
        <v>1.0900000000000001</v>
      </c>
      <c r="AC43">
        <v>1.31</v>
      </c>
      <c r="AD43">
        <v>1.29</v>
      </c>
      <c r="AE43">
        <v>1.28</v>
      </c>
      <c r="AF43">
        <v>1.26</v>
      </c>
      <c r="AG43">
        <v>1.26</v>
      </c>
      <c r="AH43">
        <v>1.22</v>
      </c>
      <c r="AI43">
        <v>1.26</v>
      </c>
      <c r="AJ43">
        <v>1.4</v>
      </c>
      <c r="AK43">
        <v>1.26</v>
      </c>
      <c r="AL43">
        <v>1.26</v>
      </c>
      <c r="AM43">
        <v>1.26</v>
      </c>
      <c r="AN43">
        <v>1.2</v>
      </c>
      <c r="AO43">
        <v>1.38</v>
      </c>
      <c r="AP43">
        <v>1.35</v>
      </c>
      <c r="AQ43">
        <v>1.31</v>
      </c>
      <c r="AR43">
        <v>1.1599999999999999</v>
      </c>
      <c r="AS43">
        <v>1.1399999999999999</v>
      </c>
      <c r="AT43">
        <v>1.1599999999999999</v>
      </c>
      <c r="AU43">
        <v>1.39</v>
      </c>
      <c r="AV43">
        <v>1.38</v>
      </c>
      <c r="AW43">
        <v>1.34</v>
      </c>
      <c r="BY43">
        <v>1.52</v>
      </c>
      <c r="BZ43">
        <v>1.46</v>
      </c>
      <c r="CA43">
        <v>1.4</v>
      </c>
      <c r="CB43">
        <v>2.35</v>
      </c>
      <c r="CC43">
        <v>2.36</v>
      </c>
      <c r="CD43">
        <v>2.3199999999999998</v>
      </c>
    </row>
    <row r="44" spans="1:82">
      <c r="A44">
        <v>10433939</v>
      </c>
      <c r="B44" s="95">
        <v>46177</v>
      </c>
      <c r="C44" s="96">
        <v>0.68315972222222221</v>
      </c>
      <c r="D44">
        <v>94.786000000000001</v>
      </c>
      <c r="E44">
        <v>1.89</v>
      </c>
      <c r="F44">
        <v>1.86</v>
      </c>
      <c r="G44">
        <v>1.89</v>
      </c>
      <c r="H44">
        <v>1.96</v>
      </c>
      <c r="I44">
        <v>1.91</v>
      </c>
      <c r="J44">
        <v>1.93</v>
      </c>
      <c r="K44">
        <v>1.39</v>
      </c>
      <c r="L44">
        <v>1.41</v>
      </c>
      <c r="M44">
        <v>1.39</v>
      </c>
      <c r="N44">
        <v>1.19</v>
      </c>
      <c r="O44">
        <v>1.21</v>
      </c>
      <c r="P44">
        <v>1.19</v>
      </c>
      <c r="Q44">
        <v>1.26</v>
      </c>
      <c r="R44">
        <v>1.26</v>
      </c>
      <c r="S44">
        <v>1.25</v>
      </c>
      <c r="T44">
        <v>1.19</v>
      </c>
      <c r="U44">
        <v>1.17</v>
      </c>
      <c r="V44">
        <v>1.1599999999999999</v>
      </c>
      <c r="W44">
        <v>1.03</v>
      </c>
      <c r="X44">
        <v>1.01</v>
      </c>
      <c r="Y44">
        <v>1</v>
      </c>
      <c r="Z44">
        <v>1.1599999999999999</v>
      </c>
      <c r="AA44">
        <v>1.1200000000000001</v>
      </c>
      <c r="AB44">
        <v>1.1000000000000001</v>
      </c>
      <c r="AC44">
        <v>1.29</v>
      </c>
      <c r="AD44">
        <v>1.32</v>
      </c>
      <c r="AE44">
        <v>1.29</v>
      </c>
      <c r="AF44">
        <v>1.28</v>
      </c>
      <c r="AG44">
        <v>1.31</v>
      </c>
      <c r="AH44">
        <v>1.26</v>
      </c>
      <c r="AI44">
        <v>1.28</v>
      </c>
      <c r="AJ44">
        <v>1.36</v>
      </c>
      <c r="AK44">
        <v>1.29</v>
      </c>
      <c r="AL44">
        <v>1.29</v>
      </c>
      <c r="AM44">
        <v>1.27</v>
      </c>
      <c r="AN44">
        <v>1.22</v>
      </c>
      <c r="AO44">
        <v>1.37</v>
      </c>
      <c r="AP44">
        <v>1.37</v>
      </c>
      <c r="AQ44">
        <v>1.36</v>
      </c>
      <c r="AR44">
        <v>1.18</v>
      </c>
      <c r="AS44">
        <v>1.1599999999999999</v>
      </c>
      <c r="AT44">
        <v>1.19</v>
      </c>
      <c r="AU44">
        <v>1.36</v>
      </c>
      <c r="AV44">
        <v>1.39</v>
      </c>
      <c r="AW44">
        <v>1.36</v>
      </c>
      <c r="BY44">
        <v>1.51</v>
      </c>
      <c r="BZ44">
        <v>1.48</v>
      </c>
      <c r="CA44">
        <v>1.42</v>
      </c>
      <c r="CB44">
        <v>2.38</v>
      </c>
      <c r="CC44">
        <v>2.39</v>
      </c>
      <c r="CD44">
        <v>2.36</v>
      </c>
    </row>
    <row r="45" spans="1:82">
      <c r="A45">
        <v>10433939</v>
      </c>
      <c r="B45" s="95">
        <v>46177</v>
      </c>
      <c r="C45" s="96">
        <v>0.93273148148148144</v>
      </c>
      <c r="D45">
        <v>94.376000000000005</v>
      </c>
      <c r="E45">
        <v>1.89</v>
      </c>
      <c r="F45">
        <v>1.95</v>
      </c>
      <c r="G45">
        <v>1.85</v>
      </c>
      <c r="H45">
        <v>1.94</v>
      </c>
      <c r="I45">
        <v>1.91</v>
      </c>
      <c r="J45">
        <v>1.97</v>
      </c>
      <c r="K45">
        <v>1.46</v>
      </c>
      <c r="L45">
        <v>1.43</v>
      </c>
      <c r="M45">
        <v>1.38</v>
      </c>
      <c r="N45">
        <v>1.2</v>
      </c>
      <c r="O45">
        <v>1.21</v>
      </c>
      <c r="P45">
        <v>1.2</v>
      </c>
      <c r="Q45">
        <v>1.26</v>
      </c>
      <c r="R45">
        <v>1.27</v>
      </c>
      <c r="S45">
        <v>1.23</v>
      </c>
      <c r="T45">
        <v>1.23</v>
      </c>
      <c r="U45">
        <v>1.1599999999999999</v>
      </c>
      <c r="V45">
        <v>1.18</v>
      </c>
      <c r="W45">
        <v>1.01</v>
      </c>
      <c r="X45">
        <v>0.96</v>
      </c>
      <c r="Y45">
        <v>0.99</v>
      </c>
      <c r="Z45">
        <v>1.1399999999999999</v>
      </c>
      <c r="AA45">
        <v>1.1200000000000001</v>
      </c>
      <c r="AB45">
        <v>1.1100000000000001</v>
      </c>
      <c r="AC45">
        <v>1.31</v>
      </c>
      <c r="AD45">
        <v>1.3</v>
      </c>
      <c r="AE45">
        <v>1.31</v>
      </c>
      <c r="AF45">
        <v>1.24</v>
      </c>
      <c r="AG45">
        <v>1.25</v>
      </c>
      <c r="AH45">
        <v>1.24</v>
      </c>
      <c r="AI45">
        <v>1.28</v>
      </c>
      <c r="AJ45">
        <v>1.26</v>
      </c>
      <c r="AK45">
        <v>1.29</v>
      </c>
      <c r="AL45">
        <v>1.22</v>
      </c>
      <c r="AM45">
        <v>1.2</v>
      </c>
      <c r="AN45">
        <v>1.19</v>
      </c>
      <c r="AO45">
        <v>1.39</v>
      </c>
      <c r="AP45">
        <v>1.33</v>
      </c>
      <c r="AQ45">
        <v>1.32</v>
      </c>
      <c r="AR45">
        <v>1.17</v>
      </c>
      <c r="AS45">
        <v>1.18</v>
      </c>
      <c r="AT45">
        <v>1.19</v>
      </c>
      <c r="AU45">
        <v>1.33</v>
      </c>
      <c r="AV45">
        <v>1.32</v>
      </c>
      <c r="AW45">
        <v>1.34</v>
      </c>
      <c r="BY45">
        <v>1.49</v>
      </c>
      <c r="BZ45">
        <v>1.46</v>
      </c>
      <c r="CA45">
        <v>1.45</v>
      </c>
      <c r="CB45">
        <v>2.34</v>
      </c>
      <c r="CC45">
        <v>2.34</v>
      </c>
      <c r="CD45">
        <v>2.37</v>
      </c>
    </row>
    <row r="46" spans="1:82">
      <c r="A46">
        <v>10433939</v>
      </c>
      <c r="B46" s="95">
        <v>46177</v>
      </c>
      <c r="C46" s="96">
        <v>0.93431712962962965</v>
      </c>
      <c r="D46">
        <v>94.259</v>
      </c>
      <c r="E46">
        <v>1.9</v>
      </c>
      <c r="F46">
        <v>1.88</v>
      </c>
      <c r="G46">
        <v>1.83</v>
      </c>
      <c r="H46">
        <v>1.94</v>
      </c>
      <c r="I46">
        <v>1.9</v>
      </c>
      <c r="J46">
        <v>1.96</v>
      </c>
      <c r="K46">
        <v>1.41</v>
      </c>
      <c r="L46">
        <v>1.43</v>
      </c>
      <c r="M46">
        <v>1.42</v>
      </c>
      <c r="N46">
        <v>1.21</v>
      </c>
      <c r="O46">
        <v>1.18</v>
      </c>
      <c r="P46">
        <v>1.19</v>
      </c>
      <c r="Q46">
        <v>1.29</v>
      </c>
      <c r="R46">
        <v>1.26</v>
      </c>
      <c r="S46">
        <v>1.24</v>
      </c>
      <c r="T46">
        <v>1.17</v>
      </c>
      <c r="U46">
        <v>1.1499999999999999</v>
      </c>
      <c r="V46">
        <v>1.17</v>
      </c>
      <c r="W46">
        <v>1.03</v>
      </c>
      <c r="X46">
        <v>0.97</v>
      </c>
      <c r="Y46">
        <v>0.99</v>
      </c>
      <c r="Z46">
        <v>1.1599999999999999</v>
      </c>
      <c r="AA46">
        <v>1.1100000000000001</v>
      </c>
      <c r="AB46">
        <v>1.1299999999999999</v>
      </c>
      <c r="AC46">
        <v>1.31</v>
      </c>
      <c r="AD46">
        <v>1.32</v>
      </c>
      <c r="AE46">
        <v>1.35</v>
      </c>
      <c r="AF46">
        <v>1.24</v>
      </c>
      <c r="AG46">
        <v>1.25</v>
      </c>
      <c r="AH46">
        <v>1.24</v>
      </c>
      <c r="AI46">
        <v>1.29</v>
      </c>
      <c r="AJ46">
        <v>1.3</v>
      </c>
      <c r="AK46">
        <v>1.31</v>
      </c>
      <c r="AL46">
        <v>1.21</v>
      </c>
      <c r="AM46">
        <v>1.2</v>
      </c>
      <c r="AN46">
        <v>1.18</v>
      </c>
      <c r="AO46">
        <v>1.39</v>
      </c>
      <c r="AP46">
        <v>1.35</v>
      </c>
      <c r="AQ46">
        <v>1.36</v>
      </c>
      <c r="AR46">
        <v>1.1599999999999999</v>
      </c>
      <c r="AS46">
        <v>1.17</v>
      </c>
      <c r="AT46">
        <v>1.19</v>
      </c>
      <c r="AU46">
        <v>1.36</v>
      </c>
      <c r="AV46">
        <v>1.38</v>
      </c>
      <c r="AW46">
        <v>1.34</v>
      </c>
      <c r="BY46">
        <v>1.48</v>
      </c>
      <c r="BZ46">
        <v>1.45</v>
      </c>
      <c r="CA46">
        <v>1.44</v>
      </c>
      <c r="CB46">
        <v>2.34</v>
      </c>
      <c r="CC46">
        <v>2.35</v>
      </c>
      <c r="CD46">
        <v>2.37</v>
      </c>
    </row>
    <row r="47" spans="1:82">
      <c r="A47">
        <v>10433939</v>
      </c>
      <c r="B47" s="95">
        <v>46178</v>
      </c>
      <c r="C47" s="96">
        <v>1.7013888888888887E-2</v>
      </c>
      <c r="D47">
        <v>94.626000000000005</v>
      </c>
      <c r="E47">
        <v>1.8</v>
      </c>
      <c r="F47">
        <v>1.86</v>
      </c>
      <c r="G47">
        <v>1.81</v>
      </c>
      <c r="H47">
        <v>1.94</v>
      </c>
      <c r="I47">
        <v>1.93</v>
      </c>
      <c r="J47">
        <v>1.93</v>
      </c>
      <c r="K47">
        <v>1.42</v>
      </c>
      <c r="L47">
        <v>1.4</v>
      </c>
      <c r="M47">
        <v>1.4</v>
      </c>
      <c r="N47">
        <v>1.19</v>
      </c>
      <c r="O47">
        <v>1.18</v>
      </c>
      <c r="P47">
        <v>1.19</v>
      </c>
      <c r="Q47">
        <v>1.3</v>
      </c>
      <c r="R47">
        <v>1.28</v>
      </c>
      <c r="S47">
        <v>1.26</v>
      </c>
      <c r="T47">
        <v>1.19</v>
      </c>
      <c r="U47">
        <v>1.1599999999999999</v>
      </c>
      <c r="V47">
        <v>1.17</v>
      </c>
      <c r="W47">
        <v>1.03</v>
      </c>
      <c r="X47">
        <v>0.99</v>
      </c>
      <c r="Y47">
        <v>1.01</v>
      </c>
      <c r="Z47">
        <v>1.19</v>
      </c>
      <c r="AA47">
        <v>1.1499999999999999</v>
      </c>
      <c r="AB47">
        <v>1.1499999999999999</v>
      </c>
      <c r="AC47">
        <v>1.26</v>
      </c>
      <c r="AD47">
        <v>1.29</v>
      </c>
      <c r="AE47">
        <v>1.34</v>
      </c>
      <c r="AF47">
        <v>1.34</v>
      </c>
      <c r="AG47">
        <v>1.24</v>
      </c>
      <c r="AH47">
        <v>1.26</v>
      </c>
      <c r="AI47">
        <v>1.26</v>
      </c>
      <c r="AJ47">
        <v>1.26</v>
      </c>
      <c r="AK47">
        <v>1.32</v>
      </c>
      <c r="AL47">
        <v>1.24</v>
      </c>
      <c r="AM47">
        <v>1.22</v>
      </c>
      <c r="AN47">
        <v>1.2</v>
      </c>
      <c r="AO47">
        <v>1.3</v>
      </c>
      <c r="AP47">
        <v>1.26</v>
      </c>
      <c r="AQ47">
        <v>1.23</v>
      </c>
      <c r="AR47">
        <v>1.1200000000000001</v>
      </c>
      <c r="AS47">
        <v>1.1499999999999999</v>
      </c>
      <c r="AT47">
        <v>1.1499999999999999</v>
      </c>
      <c r="AU47">
        <v>1.39</v>
      </c>
      <c r="AV47">
        <v>1.36</v>
      </c>
      <c r="AW47">
        <v>1.36</v>
      </c>
      <c r="BY47">
        <v>1.52</v>
      </c>
      <c r="BZ47">
        <v>1.45</v>
      </c>
      <c r="CA47">
        <v>1.4</v>
      </c>
      <c r="CB47">
        <v>2.33</v>
      </c>
      <c r="CC47">
        <v>2.3199999999999998</v>
      </c>
      <c r="CD47">
        <v>2.34</v>
      </c>
    </row>
    <row r="48" spans="1:82">
      <c r="A48">
        <v>10433939</v>
      </c>
      <c r="B48" s="95">
        <v>46178</v>
      </c>
      <c r="C48" s="96">
        <v>1.8159722222222223E-2</v>
      </c>
      <c r="D48">
        <v>94.629000000000005</v>
      </c>
      <c r="E48">
        <v>1.8</v>
      </c>
      <c r="F48">
        <v>1.84</v>
      </c>
      <c r="G48">
        <v>1.82</v>
      </c>
      <c r="H48">
        <v>1.93</v>
      </c>
      <c r="I48">
        <v>1.92</v>
      </c>
      <c r="J48">
        <v>1.92</v>
      </c>
      <c r="K48">
        <v>1.42</v>
      </c>
      <c r="L48">
        <v>1.4</v>
      </c>
      <c r="M48">
        <v>1.39</v>
      </c>
      <c r="N48">
        <v>1.2</v>
      </c>
      <c r="O48">
        <v>1.2</v>
      </c>
      <c r="P48">
        <v>1.2</v>
      </c>
      <c r="Q48">
        <v>1.29</v>
      </c>
      <c r="R48">
        <v>1.3</v>
      </c>
      <c r="S48">
        <v>1.26</v>
      </c>
      <c r="T48">
        <v>1.18</v>
      </c>
      <c r="U48">
        <v>1.1599999999999999</v>
      </c>
      <c r="V48">
        <v>1.17</v>
      </c>
      <c r="W48">
        <v>1</v>
      </c>
      <c r="X48">
        <v>1.01</v>
      </c>
      <c r="Y48">
        <v>0.98</v>
      </c>
      <c r="Z48">
        <v>1.1599999999999999</v>
      </c>
      <c r="AA48">
        <v>1.1499999999999999</v>
      </c>
      <c r="AB48">
        <v>1.1499999999999999</v>
      </c>
      <c r="AC48">
        <v>1.26</v>
      </c>
      <c r="AD48">
        <v>1.28</v>
      </c>
      <c r="AE48">
        <v>1.29</v>
      </c>
      <c r="AF48">
        <v>1.26</v>
      </c>
      <c r="AG48">
        <v>1.24</v>
      </c>
      <c r="AH48">
        <v>1.26</v>
      </c>
      <c r="AI48">
        <v>1.26</v>
      </c>
      <c r="AJ48">
        <v>1.27</v>
      </c>
      <c r="AK48">
        <v>1.29</v>
      </c>
      <c r="AL48">
        <v>1.26</v>
      </c>
      <c r="AM48">
        <v>1.23</v>
      </c>
      <c r="AN48">
        <v>1.2</v>
      </c>
      <c r="AO48">
        <v>1.3</v>
      </c>
      <c r="AP48">
        <v>1.27</v>
      </c>
      <c r="AQ48">
        <v>1.22</v>
      </c>
      <c r="AR48">
        <v>1.1200000000000001</v>
      </c>
      <c r="AS48">
        <v>1.1299999999999999</v>
      </c>
      <c r="AT48">
        <v>1.1499999999999999</v>
      </c>
      <c r="AU48">
        <v>1.88</v>
      </c>
      <c r="AV48">
        <v>1.85</v>
      </c>
      <c r="AW48">
        <v>1.86</v>
      </c>
      <c r="BY48">
        <v>1.5</v>
      </c>
      <c r="BZ48">
        <v>1.48</v>
      </c>
      <c r="CA48">
        <v>1.42</v>
      </c>
      <c r="CB48">
        <v>2.33</v>
      </c>
      <c r="CC48">
        <v>2.3199999999999998</v>
      </c>
      <c r="CD48">
        <v>2.34</v>
      </c>
    </row>
    <row r="49" spans="1:82">
      <c r="A49">
        <v>10433939</v>
      </c>
      <c r="B49" s="95">
        <v>46178</v>
      </c>
      <c r="C49" s="96">
        <v>1.9386574074074073E-2</v>
      </c>
      <c r="D49">
        <v>94.671999999999997</v>
      </c>
      <c r="E49">
        <v>1.81</v>
      </c>
      <c r="F49">
        <v>1.86</v>
      </c>
      <c r="G49">
        <v>1.82</v>
      </c>
      <c r="H49">
        <v>1.94</v>
      </c>
      <c r="I49">
        <v>1.96</v>
      </c>
      <c r="J49">
        <v>1.92</v>
      </c>
      <c r="K49">
        <v>1.4</v>
      </c>
      <c r="L49">
        <v>1.35</v>
      </c>
      <c r="M49">
        <v>1.42</v>
      </c>
      <c r="N49">
        <v>1.2</v>
      </c>
      <c r="O49">
        <v>1.19</v>
      </c>
      <c r="P49">
        <v>1.19</v>
      </c>
      <c r="Q49">
        <v>1.27</v>
      </c>
      <c r="R49">
        <v>1.24</v>
      </c>
      <c r="S49">
        <v>1.26</v>
      </c>
      <c r="T49">
        <v>1.19</v>
      </c>
      <c r="U49">
        <v>1.18</v>
      </c>
      <c r="V49">
        <v>1.1599999999999999</v>
      </c>
      <c r="W49">
        <v>1.03</v>
      </c>
      <c r="X49">
        <v>1</v>
      </c>
      <c r="Y49">
        <v>1</v>
      </c>
      <c r="Z49">
        <v>1.21</v>
      </c>
      <c r="AA49">
        <v>1.2</v>
      </c>
      <c r="AB49">
        <v>1.1499999999999999</v>
      </c>
      <c r="AC49">
        <v>1.32</v>
      </c>
      <c r="AD49">
        <v>1.29</v>
      </c>
      <c r="AE49">
        <v>1.26</v>
      </c>
      <c r="AF49">
        <v>1.29</v>
      </c>
      <c r="AG49">
        <v>1.28</v>
      </c>
      <c r="AH49">
        <v>1.25</v>
      </c>
      <c r="AI49">
        <v>1.29</v>
      </c>
      <c r="AJ49">
        <v>1.32</v>
      </c>
      <c r="AK49">
        <v>1.29</v>
      </c>
      <c r="AL49">
        <v>1.27</v>
      </c>
      <c r="AM49">
        <v>1.25</v>
      </c>
      <c r="AN49">
        <v>1.22</v>
      </c>
      <c r="AO49">
        <v>1.33</v>
      </c>
      <c r="AP49">
        <v>1.35</v>
      </c>
      <c r="AQ49">
        <v>1.32</v>
      </c>
      <c r="AR49">
        <v>1.2</v>
      </c>
      <c r="AS49">
        <v>1.1599999999999999</v>
      </c>
      <c r="AT49">
        <v>1.17</v>
      </c>
      <c r="AU49">
        <v>1.4</v>
      </c>
      <c r="AV49">
        <v>1.38</v>
      </c>
      <c r="AW49">
        <v>1.35</v>
      </c>
      <c r="BY49">
        <v>1.5</v>
      </c>
      <c r="BZ49">
        <v>1.48</v>
      </c>
      <c r="CA49">
        <v>1.43</v>
      </c>
      <c r="CB49">
        <v>2.36</v>
      </c>
      <c r="CC49">
        <v>2.35</v>
      </c>
      <c r="CD49">
        <v>2.34</v>
      </c>
    </row>
    <row r="50" spans="1:82">
      <c r="A50">
        <v>10433939</v>
      </c>
      <c r="B50" s="95">
        <v>46178</v>
      </c>
      <c r="C50" s="96">
        <v>2.0497685185185185E-2</v>
      </c>
      <c r="D50">
        <v>94.671999999999997</v>
      </c>
      <c r="E50">
        <v>1.82</v>
      </c>
      <c r="F50">
        <v>1.86</v>
      </c>
      <c r="G50">
        <v>1.82</v>
      </c>
      <c r="H50">
        <v>1.93</v>
      </c>
      <c r="I50">
        <v>1.96</v>
      </c>
      <c r="J50">
        <v>1.92</v>
      </c>
      <c r="K50">
        <v>1.41</v>
      </c>
      <c r="L50">
        <v>1.36</v>
      </c>
      <c r="M50">
        <v>1.39</v>
      </c>
      <c r="N50">
        <v>1.2</v>
      </c>
      <c r="O50">
        <v>1.19</v>
      </c>
      <c r="P50">
        <v>1.18</v>
      </c>
      <c r="Q50">
        <v>1.26</v>
      </c>
      <c r="R50">
        <v>1.24</v>
      </c>
      <c r="S50">
        <v>1.26</v>
      </c>
      <c r="T50">
        <v>1.19</v>
      </c>
      <c r="U50">
        <v>1.1599999999999999</v>
      </c>
      <c r="V50">
        <v>1.17</v>
      </c>
      <c r="W50">
        <v>1.05</v>
      </c>
      <c r="X50">
        <v>1</v>
      </c>
      <c r="Y50">
        <v>1.02</v>
      </c>
      <c r="Z50">
        <v>1.2</v>
      </c>
      <c r="AA50">
        <v>1.2</v>
      </c>
      <c r="AB50">
        <v>1.18</v>
      </c>
      <c r="AC50">
        <v>1.3</v>
      </c>
      <c r="AD50">
        <v>1.29</v>
      </c>
      <c r="AE50">
        <v>1.26</v>
      </c>
      <c r="AF50">
        <v>1.29</v>
      </c>
      <c r="AG50">
        <v>1.26</v>
      </c>
      <c r="AH50">
        <v>1.27</v>
      </c>
      <c r="AI50">
        <v>1.29</v>
      </c>
      <c r="AJ50">
        <v>1.32</v>
      </c>
      <c r="AK50">
        <v>1.3</v>
      </c>
      <c r="AL50">
        <v>1.26</v>
      </c>
      <c r="AM50">
        <v>1.25</v>
      </c>
      <c r="AN50">
        <v>1.23</v>
      </c>
      <c r="AO50">
        <v>1.32</v>
      </c>
      <c r="AP50">
        <v>1.35</v>
      </c>
      <c r="AQ50">
        <v>1.32</v>
      </c>
      <c r="AR50">
        <v>1.2</v>
      </c>
      <c r="AS50">
        <v>1.1599999999999999</v>
      </c>
      <c r="AT50">
        <v>1.17</v>
      </c>
      <c r="AU50">
        <v>1.4</v>
      </c>
      <c r="AV50">
        <v>1.39</v>
      </c>
      <c r="AW50">
        <v>1.36</v>
      </c>
      <c r="BY50">
        <v>1.5</v>
      </c>
      <c r="BZ50">
        <v>1.49</v>
      </c>
      <c r="CA50">
        <v>1.46</v>
      </c>
      <c r="CB50">
        <v>2.37</v>
      </c>
      <c r="CC50">
        <v>2.36</v>
      </c>
      <c r="CD50">
        <v>2.34</v>
      </c>
    </row>
    <row r="51" spans="1:82">
      <c r="A51">
        <v>10433939</v>
      </c>
      <c r="B51" s="95">
        <v>46178</v>
      </c>
      <c r="C51" s="96">
        <v>0.68755787037037042</v>
      </c>
      <c r="D51">
        <v>94.147999999999996</v>
      </c>
      <c r="E51">
        <v>1.84</v>
      </c>
      <c r="F51">
        <v>1.8</v>
      </c>
      <c r="G51">
        <v>1.86</v>
      </c>
      <c r="H51">
        <v>1.93</v>
      </c>
      <c r="I51">
        <v>1.94</v>
      </c>
      <c r="J51">
        <v>1.94</v>
      </c>
      <c r="K51">
        <v>1.35</v>
      </c>
      <c r="L51">
        <v>1.36</v>
      </c>
      <c r="M51">
        <v>1.32</v>
      </c>
      <c r="N51">
        <v>1.2</v>
      </c>
      <c r="O51">
        <v>1.19</v>
      </c>
      <c r="P51">
        <v>1.2</v>
      </c>
      <c r="Q51">
        <v>1.22</v>
      </c>
      <c r="R51">
        <v>1.21</v>
      </c>
      <c r="S51">
        <v>1.2</v>
      </c>
      <c r="T51">
        <v>1.21</v>
      </c>
      <c r="U51">
        <v>1.17</v>
      </c>
      <c r="V51">
        <v>1.18</v>
      </c>
      <c r="W51">
        <v>1.03</v>
      </c>
      <c r="X51">
        <v>0.98</v>
      </c>
      <c r="Y51">
        <v>0.93</v>
      </c>
      <c r="Z51">
        <v>1.1399999999999999</v>
      </c>
      <c r="AA51">
        <v>1.1200000000000001</v>
      </c>
      <c r="AB51">
        <v>1.1100000000000001</v>
      </c>
      <c r="AC51">
        <v>1.31</v>
      </c>
      <c r="AD51">
        <v>1.33</v>
      </c>
      <c r="AE51">
        <v>1.27</v>
      </c>
      <c r="AF51">
        <v>1.26</v>
      </c>
      <c r="AG51">
        <v>1.25</v>
      </c>
      <c r="AH51">
        <v>1.26</v>
      </c>
      <c r="AI51">
        <v>1.26</v>
      </c>
      <c r="AJ51">
        <v>1.34</v>
      </c>
      <c r="AK51">
        <v>1.29</v>
      </c>
      <c r="AL51">
        <v>1.24</v>
      </c>
      <c r="AM51">
        <v>1.23</v>
      </c>
      <c r="AN51">
        <v>1.2</v>
      </c>
      <c r="AO51">
        <v>1.33</v>
      </c>
      <c r="AP51">
        <v>1.38</v>
      </c>
      <c r="AQ51">
        <v>1.33</v>
      </c>
      <c r="AR51">
        <v>1.19</v>
      </c>
      <c r="AS51">
        <v>1.2</v>
      </c>
      <c r="AT51">
        <v>1.21</v>
      </c>
      <c r="AU51">
        <v>1.37</v>
      </c>
      <c r="AV51">
        <v>1.39</v>
      </c>
      <c r="AW51">
        <v>1.32</v>
      </c>
      <c r="BY51">
        <v>1.49</v>
      </c>
      <c r="BZ51">
        <v>1.46</v>
      </c>
      <c r="CA51">
        <v>1.48</v>
      </c>
      <c r="CB51">
        <v>2.35</v>
      </c>
      <c r="CC51">
        <v>2.35</v>
      </c>
      <c r="CD51">
        <v>2.37</v>
      </c>
    </row>
    <row r="52" spans="1:82">
      <c r="A52">
        <v>10433939</v>
      </c>
      <c r="B52" s="95">
        <v>46178</v>
      </c>
      <c r="C52" s="96">
        <v>0.68870370370370371</v>
      </c>
      <c r="D52">
        <v>94.046000000000006</v>
      </c>
      <c r="E52">
        <v>1.83</v>
      </c>
      <c r="F52">
        <v>1.82</v>
      </c>
      <c r="G52">
        <v>1.85</v>
      </c>
      <c r="H52">
        <v>1.94</v>
      </c>
      <c r="I52">
        <v>1.93</v>
      </c>
      <c r="J52">
        <v>1.95</v>
      </c>
      <c r="K52">
        <v>1.37</v>
      </c>
      <c r="L52">
        <v>1.35</v>
      </c>
      <c r="M52">
        <v>1.34</v>
      </c>
      <c r="N52">
        <v>1.21</v>
      </c>
      <c r="O52">
        <v>1.2</v>
      </c>
      <c r="P52">
        <v>1.21</v>
      </c>
      <c r="Q52">
        <v>1.24</v>
      </c>
      <c r="R52">
        <v>1.23</v>
      </c>
      <c r="S52">
        <v>1.21</v>
      </c>
      <c r="T52">
        <v>1.2</v>
      </c>
      <c r="U52">
        <v>1.19</v>
      </c>
      <c r="V52">
        <v>1.2</v>
      </c>
      <c r="W52">
        <v>1.04</v>
      </c>
      <c r="X52">
        <v>0.99</v>
      </c>
      <c r="Y52">
        <v>0.95</v>
      </c>
      <c r="Z52">
        <v>1.1599999999999999</v>
      </c>
      <c r="AA52">
        <v>1.1299999999999999</v>
      </c>
      <c r="AB52">
        <v>1.1200000000000001</v>
      </c>
      <c r="AC52">
        <v>1.33</v>
      </c>
      <c r="AD52">
        <v>1.35</v>
      </c>
      <c r="AE52">
        <v>1.29</v>
      </c>
      <c r="AF52">
        <v>1.28</v>
      </c>
      <c r="AG52">
        <v>1.27</v>
      </c>
      <c r="AH52">
        <v>1.28</v>
      </c>
      <c r="AI52">
        <v>1.25</v>
      </c>
      <c r="AJ52">
        <v>1.32</v>
      </c>
      <c r="AK52">
        <v>1.3</v>
      </c>
      <c r="AL52">
        <v>1.23</v>
      </c>
      <c r="AM52">
        <v>1.25</v>
      </c>
      <c r="AN52">
        <v>1.22</v>
      </c>
      <c r="AO52">
        <v>1.35</v>
      </c>
      <c r="AP52">
        <v>1.36</v>
      </c>
      <c r="AQ52">
        <v>1.34</v>
      </c>
      <c r="AR52">
        <v>1.18</v>
      </c>
      <c r="AS52">
        <v>1.2</v>
      </c>
      <c r="AT52">
        <v>1.19</v>
      </c>
      <c r="AU52">
        <v>1.35</v>
      </c>
      <c r="AV52">
        <v>1.37</v>
      </c>
      <c r="AW52">
        <v>1.34</v>
      </c>
      <c r="BY52">
        <v>1.48</v>
      </c>
      <c r="BZ52">
        <v>1.49</v>
      </c>
      <c r="CA52">
        <v>1.48</v>
      </c>
      <c r="CB52">
        <v>2.35</v>
      </c>
      <c r="CC52">
        <v>2.36</v>
      </c>
      <c r="CD52">
        <v>2.37</v>
      </c>
    </row>
    <row r="53" spans="1:82">
      <c r="A53">
        <v>10433939</v>
      </c>
      <c r="B53" s="95">
        <v>46178</v>
      </c>
      <c r="C53" s="96">
        <v>0.70432870370370371</v>
      </c>
      <c r="D53">
        <v>93.995999999999995</v>
      </c>
      <c r="E53">
        <v>1.77</v>
      </c>
      <c r="F53">
        <v>1.86</v>
      </c>
      <c r="G53">
        <v>1.78</v>
      </c>
      <c r="H53">
        <v>1.93</v>
      </c>
      <c r="I53">
        <v>1.92</v>
      </c>
      <c r="J53">
        <v>1.96</v>
      </c>
      <c r="K53">
        <v>1.3</v>
      </c>
      <c r="L53">
        <v>1.32</v>
      </c>
      <c r="M53">
        <v>1.29</v>
      </c>
      <c r="N53">
        <v>1.19</v>
      </c>
      <c r="O53">
        <v>1.2</v>
      </c>
      <c r="P53">
        <v>1.18</v>
      </c>
      <c r="Q53">
        <v>1.19</v>
      </c>
      <c r="R53">
        <v>1.26</v>
      </c>
      <c r="S53">
        <v>1.18</v>
      </c>
      <c r="T53">
        <v>1.19</v>
      </c>
      <c r="U53">
        <v>1.19</v>
      </c>
      <c r="V53">
        <v>1.18</v>
      </c>
      <c r="W53">
        <v>1.02</v>
      </c>
      <c r="X53">
        <v>1.02</v>
      </c>
      <c r="Y53">
        <v>0.98</v>
      </c>
      <c r="Z53">
        <v>1.1200000000000001</v>
      </c>
      <c r="AA53">
        <v>1.0900000000000001</v>
      </c>
      <c r="AB53">
        <v>1.1000000000000001</v>
      </c>
      <c r="AC53">
        <v>1.35</v>
      </c>
      <c r="AD53">
        <v>1.37</v>
      </c>
      <c r="AE53">
        <v>1.32</v>
      </c>
      <c r="AF53">
        <v>1.24</v>
      </c>
      <c r="AG53">
        <v>1.24</v>
      </c>
      <c r="AH53">
        <v>1.26</v>
      </c>
      <c r="AI53">
        <v>1.29</v>
      </c>
      <c r="AJ53">
        <v>1.4</v>
      </c>
      <c r="AK53">
        <v>1.29</v>
      </c>
      <c r="AL53">
        <v>1.21</v>
      </c>
      <c r="AM53">
        <v>1.22</v>
      </c>
      <c r="AN53">
        <v>1.2</v>
      </c>
      <c r="AO53">
        <v>1.3</v>
      </c>
      <c r="AP53">
        <v>1.42</v>
      </c>
      <c r="AQ53">
        <v>1.29</v>
      </c>
      <c r="AR53">
        <v>1.19</v>
      </c>
      <c r="AS53">
        <v>1.2</v>
      </c>
      <c r="AT53">
        <v>1.22</v>
      </c>
      <c r="AU53">
        <v>1.36</v>
      </c>
      <c r="AV53">
        <v>1.37</v>
      </c>
      <c r="AW53">
        <v>1.29</v>
      </c>
      <c r="BY53">
        <v>1.46</v>
      </c>
      <c r="BZ53">
        <v>1.49</v>
      </c>
      <c r="CA53">
        <v>1.4</v>
      </c>
      <c r="CB53">
        <v>2.36</v>
      </c>
      <c r="CC53">
        <v>2.39</v>
      </c>
      <c r="CD53">
        <v>2.39</v>
      </c>
    </row>
    <row r="54" spans="1:82">
      <c r="A54">
        <v>10433939</v>
      </c>
      <c r="B54" s="95">
        <v>46178</v>
      </c>
      <c r="C54" s="96">
        <v>0.70553240740740741</v>
      </c>
      <c r="D54">
        <v>93.850999999999999</v>
      </c>
      <c r="E54">
        <v>1.79</v>
      </c>
      <c r="F54">
        <v>1.84</v>
      </c>
      <c r="G54">
        <v>1.8</v>
      </c>
      <c r="H54">
        <v>1.91</v>
      </c>
      <c r="I54">
        <v>1.96</v>
      </c>
      <c r="J54">
        <v>1.94</v>
      </c>
      <c r="K54">
        <v>1.32</v>
      </c>
      <c r="L54">
        <v>1.3</v>
      </c>
      <c r="M54">
        <v>1.32</v>
      </c>
      <c r="N54">
        <v>1.26</v>
      </c>
      <c r="O54">
        <v>1.21</v>
      </c>
      <c r="P54">
        <v>1.2</v>
      </c>
      <c r="Q54">
        <v>1.2</v>
      </c>
      <c r="R54">
        <v>1.24</v>
      </c>
      <c r="S54">
        <v>1.22</v>
      </c>
      <c r="T54">
        <v>1.21</v>
      </c>
      <c r="U54">
        <v>1.22</v>
      </c>
      <c r="V54">
        <v>1.2</v>
      </c>
      <c r="W54">
        <v>1.07</v>
      </c>
      <c r="X54">
        <v>1.06</v>
      </c>
      <c r="Y54">
        <v>1.1000000000000001</v>
      </c>
      <c r="Z54">
        <v>1.1599999999999999</v>
      </c>
      <c r="AA54">
        <v>1.1100000000000001</v>
      </c>
      <c r="AB54">
        <v>1.1399999999999999</v>
      </c>
      <c r="AC54">
        <v>1.32</v>
      </c>
      <c r="AD54">
        <v>1.31</v>
      </c>
      <c r="AE54">
        <v>1.35</v>
      </c>
      <c r="AF54">
        <v>1.26</v>
      </c>
      <c r="AG54">
        <v>1.28</v>
      </c>
      <c r="AH54">
        <v>1.29</v>
      </c>
      <c r="AI54">
        <v>1.31</v>
      </c>
      <c r="AJ54">
        <v>1.36</v>
      </c>
      <c r="AK54">
        <v>1.32</v>
      </c>
      <c r="AL54">
        <v>1.26</v>
      </c>
      <c r="AM54">
        <v>1.28</v>
      </c>
      <c r="AN54">
        <v>1.27</v>
      </c>
      <c r="AO54">
        <v>1.32</v>
      </c>
      <c r="AP54">
        <v>1.39</v>
      </c>
      <c r="AQ54">
        <v>1.36</v>
      </c>
      <c r="AR54">
        <v>1.22</v>
      </c>
      <c r="AS54">
        <v>1.23</v>
      </c>
      <c r="AT54">
        <v>1.24</v>
      </c>
      <c r="AU54">
        <v>1.35</v>
      </c>
      <c r="AV54">
        <v>1.34</v>
      </c>
      <c r="AW54">
        <v>1.32</v>
      </c>
      <c r="BY54">
        <v>1.47</v>
      </c>
      <c r="BZ54">
        <v>1.51</v>
      </c>
      <c r="CA54">
        <v>1.46</v>
      </c>
      <c r="CB54">
        <v>2.38</v>
      </c>
      <c r="CC54">
        <v>2.4</v>
      </c>
      <c r="CD54">
        <v>2.36</v>
      </c>
    </row>
    <row r="55" spans="1:82">
      <c r="A55">
        <v>10433939</v>
      </c>
      <c r="B55" s="95">
        <v>46178</v>
      </c>
      <c r="C55" s="96">
        <v>0.70668981481481485</v>
      </c>
      <c r="D55">
        <v>93.986000000000004</v>
      </c>
      <c r="E55">
        <v>1.84</v>
      </c>
      <c r="F55">
        <v>1.86</v>
      </c>
      <c r="G55">
        <v>1.89</v>
      </c>
      <c r="H55">
        <v>1.93</v>
      </c>
      <c r="I55">
        <v>1.91</v>
      </c>
      <c r="J55">
        <v>1.92</v>
      </c>
      <c r="K55">
        <v>1.35</v>
      </c>
      <c r="L55">
        <v>1.37</v>
      </c>
      <c r="M55">
        <v>1.31</v>
      </c>
      <c r="N55">
        <v>1.19</v>
      </c>
      <c r="O55">
        <v>1.19</v>
      </c>
      <c r="P55">
        <v>1.18</v>
      </c>
      <c r="Q55">
        <v>1.21</v>
      </c>
      <c r="R55">
        <v>1.23</v>
      </c>
      <c r="S55">
        <v>1.2</v>
      </c>
      <c r="T55">
        <v>1.1599999999999999</v>
      </c>
      <c r="U55">
        <v>1.18</v>
      </c>
      <c r="V55">
        <v>1.19</v>
      </c>
      <c r="W55">
        <v>1.03</v>
      </c>
      <c r="X55">
        <v>0.98</v>
      </c>
      <c r="Y55">
        <v>0.99</v>
      </c>
      <c r="Z55">
        <v>1.1399999999999999</v>
      </c>
      <c r="AA55">
        <v>1.1000000000000001</v>
      </c>
      <c r="AB55">
        <v>1.1100000000000001</v>
      </c>
      <c r="AC55">
        <v>1.5</v>
      </c>
      <c r="AD55">
        <v>1.32</v>
      </c>
      <c r="AE55">
        <v>1.35</v>
      </c>
      <c r="AF55">
        <v>1.25</v>
      </c>
      <c r="AG55">
        <v>1.26</v>
      </c>
      <c r="AH55">
        <v>1.25</v>
      </c>
      <c r="AI55">
        <v>1.4</v>
      </c>
      <c r="AJ55">
        <v>1.26</v>
      </c>
      <c r="AK55">
        <v>1.32</v>
      </c>
      <c r="AL55">
        <v>1.22</v>
      </c>
      <c r="AM55">
        <v>1.21</v>
      </c>
      <c r="AN55">
        <v>1.2</v>
      </c>
      <c r="AO55">
        <v>1.36</v>
      </c>
      <c r="AP55">
        <v>1.42</v>
      </c>
      <c r="AQ55">
        <v>1.36</v>
      </c>
      <c r="AR55">
        <v>1.18</v>
      </c>
      <c r="AS55">
        <v>1.19</v>
      </c>
      <c r="AT55">
        <v>1.21</v>
      </c>
      <c r="AU55">
        <v>1.36</v>
      </c>
      <c r="AV55">
        <v>1.32</v>
      </c>
      <c r="AW55">
        <v>1.36</v>
      </c>
      <c r="BY55">
        <v>1.45</v>
      </c>
      <c r="BZ55">
        <v>1.46</v>
      </c>
      <c r="CA55">
        <v>1.44</v>
      </c>
      <c r="CB55">
        <v>2.36</v>
      </c>
      <c r="CC55">
        <v>2.39</v>
      </c>
      <c r="CD55">
        <v>2.37</v>
      </c>
    </row>
    <row r="56" spans="1:82">
      <c r="A56">
        <v>10433939</v>
      </c>
      <c r="B56" s="95">
        <v>46178</v>
      </c>
      <c r="C56" s="96">
        <v>0.70793981481481483</v>
      </c>
      <c r="D56">
        <v>93.956999999999994</v>
      </c>
      <c r="E56">
        <v>1.86</v>
      </c>
      <c r="F56">
        <v>1.85</v>
      </c>
      <c r="G56">
        <v>1.87</v>
      </c>
      <c r="H56">
        <v>1.91</v>
      </c>
      <c r="I56">
        <v>1.9</v>
      </c>
      <c r="J56">
        <v>1.96</v>
      </c>
      <c r="K56">
        <v>1.35</v>
      </c>
      <c r="L56">
        <v>1.36</v>
      </c>
      <c r="M56">
        <v>1.3</v>
      </c>
      <c r="N56">
        <v>1.2</v>
      </c>
      <c r="O56">
        <v>1.22</v>
      </c>
      <c r="P56">
        <v>1.19</v>
      </c>
      <c r="Q56">
        <v>1.22</v>
      </c>
      <c r="R56">
        <v>1.26</v>
      </c>
      <c r="S56">
        <v>1.24</v>
      </c>
      <c r="T56">
        <v>1.19</v>
      </c>
      <c r="U56">
        <v>1.21</v>
      </c>
      <c r="V56">
        <v>1.2</v>
      </c>
      <c r="W56">
        <v>1.07</v>
      </c>
      <c r="X56">
        <v>1.03</v>
      </c>
      <c r="Y56">
        <v>1</v>
      </c>
      <c r="Z56">
        <v>1.1599999999999999</v>
      </c>
      <c r="AA56">
        <v>1.1299999999999999</v>
      </c>
      <c r="AB56">
        <v>1.1599999999999999</v>
      </c>
      <c r="AC56">
        <v>1.32</v>
      </c>
      <c r="AD56">
        <v>1.36</v>
      </c>
      <c r="AE56">
        <v>1.34</v>
      </c>
      <c r="AF56">
        <v>1.29</v>
      </c>
      <c r="AG56">
        <v>1.28</v>
      </c>
      <c r="AH56">
        <v>1.3</v>
      </c>
      <c r="AI56">
        <v>1.26</v>
      </c>
      <c r="AJ56">
        <v>1.25</v>
      </c>
      <c r="AK56">
        <v>1.26</v>
      </c>
      <c r="AL56">
        <v>1.38</v>
      </c>
      <c r="AM56">
        <v>1.4</v>
      </c>
      <c r="AN56">
        <v>1.34</v>
      </c>
      <c r="AO56">
        <v>1.19</v>
      </c>
      <c r="AP56">
        <v>1.2</v>
      </c>
      <c r="AQ56">
        <v>1.24</v>
      </c>
      <c r="AR56">
        <v>1.35</v>
      </c>
      <c r="AS56">
        <v>1.36</v>
      </c>
      <c r="AT56">
        <v>1.35</v>
      </c>
      <c r="BY56">
        <v>1.47</v>
      </c>
      <c r="BZ56">
        <v>1.45</v>
      </c>
      <c r="CA56">
        <v>1.46</v>
      </c>
      <c r="CB56">
        <v>2.38</v>
      </c>
      <c r="CC56">
        <v>2.36</v>
      </c>
      <c r="CD56">
        <v>2.35</v>
      </c>
    </row>
    <row r="57" spans="1:82">
      <c r="A57">
        <v>10433939</v>
      </c>
      <c r="B57" s="95">
        <v>46178</v>
      </c>
      <c r="C57" s="96">
        <v>0.99337962962962967</v>
      </c>
      <c r="D57">
        <v>94.92</v>
      </c>
      <c r="E57">
        <v>1.81</v>
      </c>
      <c r="F57">
        <v>1.83</v>
      </c>
      <c r="G57">
        <v>1.9</v>
      </c>
      <c r="H57">
        <v>1.94</v>
      </c>
      <c r="I57">
        <v>1.92</v>
      </c>
      <c r="J57">
        <v>1.93</v>
      </c>
      <c r="K57">
        <v>1.48</v>
      </c>
      <c r="L57">
        <v>1.46</v>
      </c>
      <c r="M57">
        <v>1.37</v>
      </c>
      <c r="N57">
        <v>1.2</v>
      </c>
      <c r="O57">
        <v>1.2</v>
      </c>
      <c r="P57">
        <v>1.17</v>
      </c>
      <c r="Q57">
        <v>1.26</v>
      </c>
      <c r="R57">
        <v>1.29</v>
      </c>
      <c r="S57">
        <v>1.2</v>
      </c>
      <c r="T57">
        <v>1.19</v>
      </c>
      <c r="U57">
        <v>1.1599999999999999</v>
      </c>
      <c r="V57">
        <v>1.1599999999999999</v>
      </c>
      <c r="W57">
        <v>1.03</v>
      </c>
      <c r="X57">
        <v>1</v>
      </c>
      <c r="Y57">
        <v>0.96</v>
      </c>
      <c r="Z57">
        <v>1.18</v>
      </c>
      <c r="AA57">
        <v>1.1399999999999999</v>
      </c>
      <c r="AB57">
        <v>1.1200000000000001</v>
      </c>
      <c r="AC57">
        <v>1.36</v>
      </c>
      <c r="AD57">
        <v>1.31</v>
      </c>
      <c r="AE57">
        <v>1.26</v>
      </c>
      <c r="AF57">
        <v>1.26</v>
      </c>
      <c r="AG57">
        <v>1.27</v>
      </c>
      <c r="AH57">
        <v>1.27</v>
      </c>
      <c r="AI57">
        <v>1.31</v>
      </c>
      <c r="AJ57">
        <v>1.3</v>
      </c>
      <c r="AK57">
        <v>1.26</v>
      </c>
      <c r="AL57">
        <v>1.23</v>
      </c>
      <c r="AM57">
        <v>1.28</v>
      </c>
      <c r="AN57">
        <v>1.2</v>
      </c>
      <c r="AO57">
        <v>1.37</v>
      </c>
      <c r="AP57">
        <v>1.37</v>
      </c>
      <c r="AQ57">
        <v>1.39</v>
      </c>
      <c r="AR57">
        <v>1.1599999999999999</v>
      </c>
      <c r="AS57">
        <v>1.1499999999999999</v>
      </c>
      <c r="AT57">
        <v>1.2</v>
      </c>
      <c r="AU57">
        <v>1.36</v>
      </c>
      <c r="AV57">
        <v>1.37</v>
      </c>
      <c r="AW57">
        <v>1.37</v>
      </c>
      <c r="BY57">
        <v>1.45</v>
      </c>
      <c r="BZ57">
        <v>1.46</v>
      </c>
      <c r="CA57">
        <v>1.45</v>
      </c>
      <c r="CB57">
        <v>2.35</v>
      </c>
      <c r="CC57">
        <v>2.38</v>
      </c>
      <c r="CD57">
        <v>2.36</v>
      </c>
    </row>
    <row r="58" spans="1:82">
      <c r="A58">
        <v>10433939</v>
      </c>
      <c r="B58" s="95">
        <v>46178</v>
      </c>
      <c r="C58" s="96">
        <v>0.99440972222222224</v>
      </c>
      <c r="D58">
        <v>94.926000000000002</v>
      </c>
      <c r="E58">
        <v>1.83</v>
      </c>
      <c r="F58">
        <v>1.84</v>
      </c>
      <c r="G58">
        <v>1.89</v>
      </c>
      <c r="H58">
        <v>1.93</v>
      </c>
      <c r="I58">
        <v>1.92</v>
      </c>
      <c r="J58">
        <v>1.93</v>
      </c>
      <c r="K58">
        <v>1.46</v>
      </c>
      <c r="L58">
        <v>1.47</v>
      </c>
      <c r="M58">
        <v>1.37</v>
      </c>
      <c r="N58">
        <v>1.2</v>
      </c>
      <c r="O58">
        <v>1.21</v>
      </c>
      <c r="P58">
        <v>1.19</v>
      </c>
      <c r="Q58">
        <v>1.26</v>
      </c>
      <c r="R58">
        <v>1.29</v>
      </c>
      <c r="S58">
        <v>1.2</v>
      </c>
      <c r="T58">
        <v>1.19</v>
      </c>
      <c r="U58">
        <v>1.1599999999999999</v>
      </c>
      <c r="V58">
        <v>1.17</v>
      </c>
      <c r="W58">
        <v>1.03</v>
      </c>
      <c r="X58">
        <v>1</v>
      </c>
      <c r="Y58">
        <v>1</v>
      </c>
      <c r="Z58">
        <v>1.18</v>
      </c>
      <c r="AA58">
        <v>1.1599999999999999</v>
      </c>
      <c r="AB58">
        <v>1.1200000000000001</v>
      </c>
      <c r="AC58">
        <v>1.35</v>
      </c>
      <c r="AD58">
        <v>1.31</v>
      </c>
      <c r="AE58">
        <v>1.25</v>
      </c>
      <c r="AF58">
        <v>1.26</v>
      </c>
      <c r="AG58">
        <v>1.27</v>
      </c>
      <c r="AH58">
        <v>1.26</v>
      </c>
      <c r="AI58">
        <v>1.3</v>
      </c>
      <c r="AJ58">
        <v>1.3</v>
      </c>
      <c r="AK58">
        <v>1.26</v>
      </c>
      <c r="AL58">
        <v>1.23</v>
      </c>
      <c r="AM58">
        <v>1.26</v>
      </c>
      <c r="AN58">
        <v>1.2</v>
      </c>
      <c r="AO58">
        <v>1.36</v>
      </c>
      <c r="AP58">
        <v>1.37</v>
      </c>
      <c r="AQ58">
        <v>1.39</v>
      </c>
      <c r="AR58">
        <v>1.1599999999999999</v>
      </c>
      <c r="AS58">
        <v>1.1499999999999999</v>
      </c>
      <c r="AT58">
        <v>1.2</v>
      </c>
      <c r="AU58">
        <v>1.36</v>
      </c>
      <c r="AV58">
        <v>1.38</v>
      </c>
      <c r="AW58">
        <v>1.36</v>
      </c>
      <c r="BY58">
        <v>1.45</v>
      </c>
      <c r="BZ58">
        <v>1.46</v>
      </c>
      <c r="CA58">
        <v>1.45</v>
      </c>
      <c r="CB58">
        <v>2.35</v>
      </c>
      <c r="CC58">
        <v>2.39</v>
      </c>
      <c r="CD58">
        <v>2.39</v>
      </c>
    </row>
    <row r="59" spans="1:82">
      <c r="A59">
        <v>10433939</v>
      </c>
      <c r="B59" s="95">
        <v>46178</v>
      </c>
      <c r="C59" s="96">
        <v>0.99555555555555553</v>
      </c>
      <c r="D59">
        <v>94.662999999999997</v>
      </c>
      <c r="E59">
        <v>1.84</v>
      </c>
      <c r="F59">
        <v>1.91</v>
      </c>
      <c r="G59">
        <v>1.86</v>
      </c>
      <c r="H59">
        <v>1.93</v>
      </c>
      <c r="I59">
        <v>1.92</v>
      </c>
      <c r="J59">
        <v>1.94</v>
      </c>
      <c r="K59">
        <v>1.42</v>
      </c>
      <c r="L59">
        <v>1.42</v>
      </c>
      <c r="M59">
        <v>1.38</v>
      </c>
      <c r="N59">
        <v>1.17</v>
      </c>
      <c r="O59">
        <v>1.18</v>
      </c>
      <c r="P59">
        <v>1.1599999999999999</v>
      </c>
      <c r="Q59">
        <v>1.29</v>
      </c>
      <c r="R59">
        <v>1.28</v>
      </c>
      <c r="S59">
        <v>1.26</v>
      </c>
      <c r="T59">
        <v>1.1599999999999999</v>
      </c>
      <c r="U59">
        <v>1.17</v>
      </c>
      <c r="V59">
        <v>1.19</v>
      </c>
      <c r="W59">
        <v>1.03</v>
      </c>
      <c r="X59">
        <v>1.06</v>
      </c>
      <c r="Y59">
        <v>1</v>
      </c>
      <c r="Z59">
        <v>1.19</v>
      </c>
      <c r="AA59">
        <v>1.1599999999999999</v>
      </c>
      <c r="AB59">
        <v>1.1299999999999999</v>
      </c>
      <c r="AC59">
        <v>1.34</v>
      </c>
      <c r="AD59">
        <v>1.4</v>
      </c>
      <c r="AE59">
        <v>1.29</v>
      </c>
      <c r="AF59">
        <v>1.28</v>
      </c>
      <c r="AG59">
        <v>1.3</v>
      </c>
      <c r="AH59">
        <v>1.24</v>
      </c>
      <c r="AI59">
        <v>1.29</v>
      </c>
      <c r="AJ59">
        <v>1.38</v>
      </c>
      <c r="AK59">
        <v>1.21</v>
      </c>
      <c r="AL59">
        <v>1.24</v>
      </c>
      <c r="AM59">
        <v>1.24</v>
      </c>
      <c r="AN59">
        <v>1.18</v>
      </c>
      <c r="AO59">
        <v>1.29</v>
      </c>
      <c r="AP59">
        <v>1.39</v>
      </c>
      <c r="AQ59">
        <v>1.29</v>
      </c>
      <c r="AR59">
        <v>1.1499999999999999</v>
      </c>
      <c r="AS59">
        <v>1.1599999999999999</v>
      </c>
      <c r="AT59">
        <v>1.1499999999999999</v>
      </c>
      <c r="AU59">
        <v>1.39</v>
      </c>
      <c r="AV59">
        <v>1.36</v>
      </c>
      <c r="AW59">
        <v>1.32</v>
      </c>
      <c r="BY59">
        <v>1.42</v>
      </c>
      <c r="BZ59">
        <v>1.46</v>
      </c>
      <c r="CA59">
        <v>1.39</v>
      </c>
      <c r="CB59">
        <v>2.33</v>
      </c>
      <c r="CC59">
        <v>2.35</v>
      </c>
      <c r="CD59">
        <v>2.34</v>
      </c>
    </row>
    <row r="60" spans="1:82">
      <c r="A60">
        <v>10433939</v>
      </c>
      <c r="B60" s="95">
        <v>46178</v>
      </c>
      <c r="C60" s="96">
        <v>0.99671296296296297</v>
      </c>
      <c r="D60">
        <v>94.659000000000006</v>
      </c>
      <c r="E60">
        <v>1.86</v>
      </c>
      <c r="F60">
        <v>1.92</v>
      </c>
      <c r="G60">
        <v>1.9</v>
      </c>
      <c r="H60">
        <v>1.92</v>
      </c>
      <c r="I60">
        <v>1.93</v>
      </c>
      <c r="J60">
        <v>1.94</v>
      </c>
      <c r="K60">
        <v>1.4</v>
      </c>
      <c r="L60">
        <v>1.41</v>
      </c>
      <c r="M60">
        <v>1.39</v>
      </c>
      <c r="N60">
        <v>1.1599999999999999</v>
      </c>
      <c r="O60">
        <v>1.18</v>
      </c>
      <c r="P60">
        <v>1.1599999999999999</v>
      </c>
      <c r="Q60">
        <v>1.29</v>
      </c>
      <c r="R60">
        <v>1.26</v>
      </c>
      <c r="S60">
        <v>1.26</v>
      </c>
      <c r="T60">
        <v>1.1599999999999999</v>
      </c>
      <c r="U60">
        <v>1.17</v>
      </c>
      <c r="V60">
        <v>1.19</v>
      </c>
      <c r="W60">
        <v>1.03</v>
      </c>
      <c r="X60">
        <v>1.06</v>
      </c>
      <c r="Y60">
        <v>1</v>
      </c>
      <c r="Z60">
        <v>1.18</v>
      </c>
      <c r="AA60">
        <v>1.1599999999999999</v>
      </c>
      <c r="AB60">
        <v>1.1200000000000001</v>
      </c>
      <c r="AC60">
        <v>1.3</v>
      </c>
      <c r="AD60">
        <v>1.36</v>
      </c>
      <c r="AE60">
        <v>1.29</v>
      </c>
      <c r="AF60">
        <v>1.28</v>
      </c>
      <c r="AG60">
        <v>1.3</v>
      </c>
      <c r="AH60">
        <v>1.24</v>
      </c>
      <c r="AI60">
        <v>1.28</v>
      </c>
      <c r="AJ60">
        <v>1.37</v>
      </c>
      <c r="AK60">
        <v>1.26</v>
      </c>
      <c r="AL60">
        <v>1.24</v>
      </c>
      <c r="AM60">
        <v>1.26</v>
      </c>
      <c r="AN60">
        <v>1.2</v>
      </c>
      <c r="AO60">
        <v>1.28</v>
      </c>
      <c r="AP60">
        <v>1.37</v>
      </c>
      <c r="AQ60">
        <v>1.29</v>
      </c>
      <c r="AR60">
        <v>1.1599999999999999</v>
      </c>
      <c r="AS60">
        <v>1.1599999999999999</v>
      </c>
      <c r="AT60">
        <v>1.1499999999999999</v>
      </c>
      <c r="AU60">
        <v>1.39</v>
      </c>
      <c r="AV60">
        <v>1.37</v>
      </c>
      <c r="AW60">
        <v>1.32</v>
      </c>
      <c r="BY60">
        <v>1.43</v>
      </c>
      <c r="BZ60">
        <v>1.45</v>
      </c>
      <c r="CA60">
        <v>1.4</v>
      </c>
      <c r="CB60">
        <v>2.35</v>
      </c>
      <c r="CC60">
        <v>2.38</v>
      </c>
      <c r="CD60">
        <v>2.36</v>
      </c>
    </row>
    <row r="61" spans="1:82">
      <c r="A61">
        <v>10433939</v>
      </c>
      <c r="B61" s="95">
        <v>46181</v>
      </c>
      <c r="C61" s="96">
        <v>0.68964120370370374</v>
      </c>
      <c r="D61">
        <v>94.929000000000002</v>
      </c>
      <c r="E61">
        <v>1.8</v>
      </c>
      <c r="F61">
        <v>1.86</v>
      </c>
      <c r="G61">
        <v>1.8</v>
      </c>
      <c r="H61">
        <v>1.93</v>
      </c>
      <c r="I61">
        <v>1.92</v>
      </c>
      <c r="J61">
        <v>1.93</v>
      </c>
      <c r="K61">
        <v>1.46</v>
      </c>
      <c r="L61">
        <v>1.46</v>
      </c>
      <c r="M61">
        <v>1.38</v>
      </c>
      <c r="N61">
        <v>1.1599999999999999</v>
      </c>
      <c r="O61">
        <v>1.19</v>
      </c>
      <c r="P61">
        <v>1.17</v>
      </c>
      <c r="Q61">
        <v>1.29</v>
      </c>
      <c r="R61">
        <v>1.3</v>
      </c>
      <c r="S61">
        <v>1.24</v>
      </c>
      <c r="T61">
        <v>1.18</v>
      </c>
      <c r="U61">
        <v>1.1599999999999999</v>
      </c>
      <c r="V61">
        <v>1.18</v>
      </c>
      <c r="W61">
        <v>1.05</v>
      </c>
      <c r="X61">
        <v>1.04</v>
      </c>
      <c r="Y61">
        <v>1.02</v>
      </c>
      <c r="Z61">
        <v>1.2</v>
      </c>
      <c r="AA61">
        <v>1.18</v>
      </c>
      <c r="AB61">
        <v>1.1399999999999999</v>
      </c>
      <c r="AC61">
        <v>1.34</v>
      </c>
      <c r="AD61">
        <v>1.37</v>
      </c>
      <c r="AE61">
        <v>1.32</v>
      </c>
      <c r="AF61">
        <v>1.28</v>
      </c>
      <c r="AG61">
        <v>1.27</v>
      </c>
      <c r="AH61">
        <v>1.26</v>
      </c>
      <c r="AI61">
        <v>1.36</v>
      </c>
      <c r="AJ61">
        <v>1.33</v>
      </c>
      <c r="AK61">
        <v>1.31</v>
      </c>
      <c r="AL61">
        <v>1.26</v>
      </c>
      <c r="AM61">
        <v>1.26</v>
      </c>
      <c r="AN61">
        <v>1.23</v>
      </c>
      <c r="AO61">
        <v>1.29</v>
      </c>
      <c r="AP61">
        <v>1.32</v>
      </c>
      <c r="AQ61">
        <v>1.33</v>
      </c>
      <c r="AR61">
        <v>1.1599999999999999</v>
      </c>
      <c r="AS61">
        <v>1.1499999999999999</v>
      </c>
      <c r="AT61">
        <v>1.22</v>
      </c>
      <c r="AU61">
        <v>1.39</v>
      </c>
      <c r="AV61">
        <v>1.38</v>
      </c>
      <c r="AW61">
        <v>1.35</v>
      </c>
      <c r="BY61">
        <v>1.44</v>
      </c>
      <c r="BZ61">
        <v>1.44</v>
      </c>
      <c r="CA61">
        <v>1.39</v>
      </c>
      <c r="CB61">
        <v>2.33</v>
      </c>
      <c r="CC61">
        <v>2.33</v>
      </c>
      <c r="CD61">
        <v>2.33</v>
      </c>
    </row>
    <row r="62" spans="1:82">
      <c r="A62">
        <v>10433939</v>
      </c>
      <c r="B62" s="95">
        <v>46181</v>
      </c>
      <c r="C62" s="96">
        <v>0.69093749999999998</v>
      </c>
      <c r="D62">
        <v>94.926000000000002</v>
      </c>
      <c r="E62">
        <v>1.8</v>
      </c>
      <c r="F62">
        <v>1.84</v>
      </c>
      <c r="G62">
        <v>1.82</v>
      </c>
      <c r="H62">
        <v>1.92</v>
      </c>
      <c r="I62">
        <v>1.92</v>
      </c>
      <c r="J62">
        <v>1.93</v>
      </c>
      <c r="K62">
        <v>1.46</v>
      </c>
      <c r="L62">
        <v>1.46</v>
      </c>
      <c r="M62">
        <v>1.4</v>
      </c>
      <c r="N62">
        <v>1.1599999999999999</v>
      </c>
      <c r="O62">
        <v>1.18</v>
      </c>
      <c r="P62">
        <v>1.1599999999999999</v>
      </c>
      <c r="Q62">
        <v>1.29</v>
      </c>
      <c r="R62">
        <v>1.3</v>
      </c>
      <c r="S62">
        <v>1.26</v>
      </c>
      <c r="T62">
        <v>1.18</v>
      </c>
      <c r="U62">
        <v>1.1599999999999999</v>
      </c>
      <c r="V62">
        <v>1.1599999999999999</v>
      </c>
      <c r="W62">
        <v>1.05</v>
      </c>
      <c r="X62">
        <v>1.04</v>
      </c>
      <c r="Y62">
        <v>1.02</v>
      </c>
      <c r="Z62">
        <v>1.2</v>
      </c>
      <c r="AA62">
        <v>1.18</v>
      </c>
      <c r="AB62">
        <v>1.1599999999999999</v>
      </c>
      <c r="AC62">
        <v>1.36</v>
      </c>
      <c r="AD62">
        <v>1.36</v>
      </c>
      <c r="AE62">
        <v>1.32</v>
      </c>
      <c r="AF62">
        <v>1.28</v>
      </c>
      <c r="AG62">
        <v>1.26</v>
      </c>
      <c r="AH62">
        <v>1.26</v>
      </c>
      <c r="AI62">
        <v>1.36</v>
      </c>
      <c r="AJ62">
        <v>1.32</v>
      </c>
      <c r="AK62">
        <v>1.31</v>
      </c>
      <c r="AL62">
        <v>1.23</v>
      </c>
      <c r="AM62">
        <v>1.26</v>
      </c>
      <c r="AN62">
        <v>1.23</v>
      </c>
      <c r="AO62">
        <v>1.29</v>
      </c>
      <c r="AP62">
        <v>1.32</v>
      </c>
      <c r="AQ62">
        <v>1.38</v>
      </c>
      <c r="AR62">
        <v>1.1599999999999999</v>
      </c>
      <c r="AS62">
        <v>1.1499999999999999</v>
      </c>
      <c r="AT62">
        <v>1.22</v>
      </c>
      <c r="AU62">
        <v>1.39</v>
      </c>
      <c r="AV62">
        <v>1.38</v>
      </c>
      <c r="AW62">
        <v>1.35</v>
      </c>
      <c r="BY62">
        <v>1.42</v>
      </c>
      <c r="BZ62">
        <v>1.43</v>
      </c>
      <c r="CA62">
        <v>1.4</v>
      </c>
      <c r="CB62">
        <v>2.33</v>
      </c>
      <c r="CC62">
        <v>2.34</v>
      </c>
      <c r="CD62">
        <v>2.35</v>
      </c>
    </row>
    <row r="63" spans="1:82">
      <c r="A63">
        <v>10433939</v>
      </c>
      <c r="B63" s="95">
        <v>46181</v>
      </c>
      <c r="C63" s="96">
        <v>0.69217592592592592</v>
      </c>
      <c r="D63">
        <v>94.915999999999997</v>
      </c>
      <c r="E63">
        <v>1.82</v>
      </c>
      <c r="F63">
        <v>1.86</v>
      </c>
      <c r="G63">
        <v>1.81</v>
      </c>
      <c r="H63">
        <v>1.94</v>
      </c>
      <c r="I63">
        <v>1.93</v>
      </c>
      <c r="J63">
        <v>1.92</v>
      </c>
      <c r="K63">
        <v>1.42</v>
      </c>
      <c r="L63">
        <v>1.43</v>
      </c>
      <c r="M63">
        <v>1.43</v>
      </c>
      <c r="N63">
        <v>1.1599999999999999</v>
      </c>
      <c r="O63">
        <v>1.19</v>
      </c>
      <c r="P63">
        <v>1.2</v>
      </c>
      <c r="Q63">
        <v>1.26</v>
      </c>
      <c r="R63">
        <v>1.29</v>
      </c>
      <c r="S63">
        <v>1.27</v>
      </c>
      <c r="T63">
        <v>1.18</v>
      </c>
      <c r="U63">
        <v>1.1599999999999999</v>
      </c>
      <c r="V63">
        <v>1.17</v>
      </c>
      <c r="W63">
        <v>1.03</v>
      </c>
      <c r="X63">
        <v>1.02</v>
      </c>
      <c r="Y63">
        <v>1.01</v>
      </c>
      <c r="Z63">
        <v>1.2</v>
      </c>
      <c r="AA63">
        <v>1.1599999999999999</v>
      </c>
      <c r="AB63">
        <v>1.17</v>
      </c>
      <c r="AC63">
        <v>1.36</v>
      </c>
      <c r="AD63">
        <v>1.37</v>
      </c>
      <c r="AE63">
        <v>1.36</v>
      </c>
      <c r="AF63">
        <v>1.3</v>
      </c>
      <c r="AG63">
        <v>1.29</v>
      </c>
      <c r="AH63">
        <v>1.26</v>
      </c>
      <c r="AI63">
        <v>1.35</v>
      </c>
      <c r="AJ63">
        <v>1.34</v>
      </c>
      <c r="AK63">
        <v>1.29</v>
      </c>
      <c r="AL63">
        <v>1.26</v>
      </c>
      <c r="AM63">
        <v>1.24</v>
      </c>
      <c r="AN63">
        <v>1.22</v>
      </c>
      <c r="AO63">
        <v>1.29</v>
      </c>
      <c r="AP63">
        <v>1.34</v>
      </c>
      <c r="AQ63">
        <v>1.36</v>
      </c>
      <c r="AR63">
        <v>1.1599999999999999</v>
      </c>
      <c r="AS63">
        <v>1.18</v>
      </c>
      <c r="AT63">
        <v>1.1599999999999999</v>
      </c>
      <c r="AU63">
        <v>1.36</v>
      </c>
      <c r="AV63">
        <v>1.37</v>
      </c>
      <c r="AW63">
        <v>1.32</v>
      </c>
      <c r="BY63">
        <v>1.45</v>
      </c>
      <c r="BZ63">
        <v>1.45</v>
      </c>
      <c r="CA63">
        <v>1.4</v>
      </c>
      <c r="CB63">
        <v>2.36</v>
      </c>
      <c r="CC63">
        <v>2.34</v>
      </c>
      <c r="CD63">
        <v>2.36</v>
      </c>
    </row>
    <row r="64" spans="1:82">
      <c r="A64">
        <v>10433939</v>
      </c>
      <c r="B64" s="95">
        <v>46181</v>
      </c>
      <c r="C64" s="96">
        <v>0.69337962962962962</v>
      </c>
      <c r="D64">
        <v>94.915999999999997</v>
      </c>
      <c r="E64">
        <v>1.83</v>
      </c>
      <c r="F64">
        <v>1.86</v>
      </c>
      <c r="G64">
        <v>1.82</v>
      </c>
      <c r="H64">
        <v>1.93</v>
      </c>
      <c r="I64">
        <v>1.96</v>
      </c>
      <c r="J64">
        <v>1.93</v>
      </c>
      <c r="K64">
        <v>1.4</v>
      </c>
      <c r="L64">
        <v>1.42</v>
      </c>
      <c r="M64">
        <v>1.43</v>
      </c>
      <c r="N64">
        <v>1.18</v>
      </c>
      <c r="O64">
        <v>1.1599999999999999</v>
      </c>
      <c r="P64">
        <v>1.19</v>
      </c>
      <c r="Q64">
        <v>1.26</v>
      </c>
      <c r="R64">
        <v>1.27</v>
      </c>
      <c r="S64">
        <v>1.26</v>
      </c>
      <c r="T64">
        <v>1.18</v>
      </c>
      <c r="U64">
        <v>1.1599999999999999</v>
      </c>
      <c r="V64">
        <v>1.17</v>
      </c>
      <c r="W64">
        <v>1.03</v>
      </c>
      <c r="X64">
        <v>1.02</v>
      </c>
      <c r="Y64">
        <v>1.01</v>
      </c>
      <c r="Z64">
        <v>1.19</v>
      </c>
      <c r="AA64">
        <v>1.1599999999999999</v>
      </c>
      <c r="AB64">
        <v>1.17</v>
      </c>
      <c r="AC64">
        <v>1.36</v>
      </c>
      <c r="AD64">
        <v>1.37</v>
      </c>
      <c r="AE64">
        <v>1.36</v>
      </c>
      <c r="AF64">
        <v>1.3</v>
      </c>
      <c r="AG64">
        <v>1.29</v>
      </c>
      <c r="AH64">
        <v>1.26</v>
      </c>
      <c r="AI64">
        <v>1.35</v>
      </c>
      <c r="AJ64">
        <v>1.36</v>
      </c>
      <c r="AK64">
        <v>1.3</v>
      </c>
      <c r="AL64">
        <v>1.26</v>
      </c>
      <c r="AM64">
        <v>1.23</v>
      </c>
      <c r="AN64">
        <v>1.22</v>
      </c>
      <c r="AO64">
        <v>1.3</v>
      </c>
      <c r="AP64">
        <v>1.34</v>
      </c>
      <c r="AQ64">
        <v>1.36</v>
      </c>
      <c r="AR64">
        <v>1.1599999999999999</v>
      </c>
      <c r="AS64">
        <v>1.18</v>
      </c>
      <c r="AT64">
        <v>1.1599999999999999</v>
      </c>
      <c r="AU64">
        <v>1.36</v>
      </c>
      <c r="AV64">
        <v>1.37</v>
      </c>
      <c r="AW64">
        <v>1.3</v>
      </c>
      <c r="BY64">
        <v>1.46</v>
      </c>
      <c r="BZ64">
        <v>1.45</v>
      </c>
      <c r="CA64">
        <v>1.4</v>
      </c>
      <c r="CB64">
        <v>2.36</v>
      </c>
      <c r="CC64">
        <v>2.34</v>
      </c>
      <c r="CD64">
        <v>2.36</v>
      </c>
    </row>
    <row r="65" spans="1:82">
      <c r="A65">
        <v>10433939</v>
      </c>
      <c r="B65" s="95">
        <v>46181</v>
      </c>
      <c r="C65" s="96">
        <v>0.7252777777777778</v>
      </c>
      <c r="D65">
        <v>94.379000000000005</v>
      </c>
      <c r="E65">
        <v>1.8</v>
      </c>
      <c r="F65">
        <v>1.84</v>
      </c>
      <c r="G65">
        <v>1.87</v>
      </c>
      <c r="H65">
        <v>1.92</v>
      </c>
      <c r="I65">
        <v>1.91</v>
      </c>
      <c r="J65">
        <v>1.94</v>
      </c>
      <c r="K65">
        <v>1.44</v>
      </c>
      <c r="L65">
        <v>1.41</v>
      </c>
      <c r="M65">
        <v>1.37</v>
      </c>
      <c r="N65">
        <v>1.2</v>
      </c>
      <c r="O65">
        <v>1.18</v>
      </c>
      <c r="P65">
        <v>1.17</v>
      </c>
      <c r="Q65">
        <v>1.28</v>
      </c>
      <c r="R65">
        <v>1.27</v>
      </c>
      <c r="S65">
        <v>1.23</v>
      </c>
      <c r="T65">
        <v>1.19</v>
      </c>
      <c r="U65">
        <v>1.1499999999999999</v>
      </c>
      <c r="V65">
        <v>1.1599999999999999</v>
      </c>
      <c r="W65">
        <v>1.02</v>
      </c>
      <c r="X65">
        <v>0.95</v>
      </c>
      <c r="Y65">
        <v>0.94</v>
      </c>
      <c r="Z65">
        <v>1.18</v>
      </c>
      <c r="AA65">
        <v>1.1599999999999999</v>
      </c>
      <c r="AB65">
        <v>1.1399999999999999</v>
      </c>
      <c r="AC65">
        <v>1.35</v>
      </c>
      <c r="AD65">
        <v>1.35</v>
      </c>
      <c r="AE65">
        <v>1.27</v>
      </c>
      <c r="AF65">
        <v>1.26</v>
      </c>
      <c r="AG65">
        <v>1.25</v>
      </c>
      <c r="AH65">
        <v>1.24</v>
      </c>
      <c r="AI65">
        <v>1.33</v>
      </c>
      <c r="AJ65">
        <v>1.33</v>
      </c>
      <c r="AK65">
        <v>1.26</v>
      </c>
      <c r="AL65">
        <v>1.25</v>
      </c>
      <c r="AM65">
        <v>1.24</v>
      </c>
      <c r="AN65">
        <v>1.2</v>
      </c>
      <c r="AO65">
        <v>1.29</v>
      </c>
      <c r="AP65">
        <v>1.31</v>
      </c>
      <c r="AQ65">
        <v>1.22</v>
      </c>
      <c r="AR65">
        <v>1.18</v>
      </c>
      <c r="AS65">
        <v>1.1499999999999999</v>
      </c>
      <c r="AT65">
        <v>1.1599999999999999</v>
      </c>
      <c r="AU65">
        <v>1.33</v>
      </c>
      <c r="AV65">
        <v>1.34</v>
      </c>
      <c r="AW65">
        <v>1.23</v>
      </c>
      <c r="BY65">
        <v>1.49</v>
      </c>
      <c r="BZ65">
        <v>1.46</v>
      </c>
      <c r="CA65">
        <v>1.45</v>
      </c>
      <c r="CB65">
        <v>2.33</v>
      </c>
      <c r="CC65">
        <v>2.3199999999999998</v>
      </c>
      <c r="CD65">
        <v>2.2999999999999998</v>
      </c>
    </row>
    <row r="66" spans="1:82">
      <c r="A66">
        <v>10433939</v>
      </c>
      <c r="B66" s="95">
        <v>46181</v>
      </c>
      <c r="C66" s="96">
        <v>0.72643518518518524</v>
      </c>
      <c r="D66">
        <v>94.738</v>
      </c>
      <c r="E66">
        <v>1.81</v>
      </c>
      <c r="F66">
        <v>1.83</v>
      </c>
      <c r="G66">
        <v>1.86</v>
      </c>
      <c r="H66">
        <v>1.93</v>
      </c>
      <c r="I66">
        <v>1.94</v>
      </c>
      <c r="J66">
        <v>1.92</v>
      </c>
      <c r="K66">
        <v>1.44</v>
      </c>
      <c r="L66">
        <v>1.4</v>
      </c>
      <c r="M66">
        <v>1.36</v>
      </c>
      <c r="N66">
        <v>1.2</v>
      </c>
      <c r="O66">
        <v>1.19</v>
      </c>
      <c r="P66">
        <v>1.2</v>
      </c>
      <c r="Q66">
        <v>1.28</v>
      </c>
      <c r="R66">
        <v>1.28</v>
      </c>
      <c r="S66">
        <v>1.25</v>
      </c>
      <c r="T66">
        <v>1.19</v>
      </c>
      <c r="U66">
        <v>1.1499999999999999</v>
      </c>
      <c r="V66">
        <v>1.1599999999999999</v>
      </c>
      <c r="W66">
        <v>1.02</v>
      </c>
      <c r="X66">
        <v>0.98</v>
      </c>
      <c r="Y66">
        <v>0.96</v>
      </c>
      <c r="Z66">
        <v>1.1599999999999999</v>
      </c>
      <c r="AA66">
        <v>1.18</v>
      </c>
      <c r="AB66">
        <v>1.1599999999999999</v>
      </c>
      <c r="AC66">
        <v>1.34</v>
      </c>
      <c r="AD66">
        <v>1.34</v>
      </c>
      <c r="AE66">
        <v>1.29</v>
      </c>
      <c r="AF66">
        <v>1.28</v>
      </c>
      <c r="AG66">
        <v>1.27</v>
      </c>
      <c r="AH66">
        <v>1.26</v>
      </c>
      <c r="AI66">
        <v>1.3</v>
      </c>
      <c r="AJ66">
        <v>1.31</v>
      </c>
      <c r="AK66">
        <v>1.28</v>
      </c>
      <c r="AL66">
        <v>1.26</v>
      </c>
      <c r="AM66">
        <v>1.25</v>
      </c>
      <c r="AN66">
        <v>1.24</v>
      </c>
      <c r="AO66">
        <v>1.32</v>
      </c>
      <c r="AP66">
        <v>1.33</v>
      </c>
      <c r="AQ66">
        <v>1.25</v>
      </c>
      <c r="AR66">
        <v>1.2</v>
      </c>
      <c r="AS66">
        <v>1.1599999999999999</v>
      </c>
      <c r="AT66">
        <v>1.18</v>
      </c>
      <c r="AU66">
        <v>1.31</v>
      </c>
      <c r="AV66">
        <v>1.34</v>
      </c>
      <c r="AW66">
        <v>1.26</v>
      </c>
      <c r="BY66">
        <v>1.48</v>
      </c>
      <c r="BZ66">
        <v>1.45</v>
      </c>
      <c r="CA66">
        <v>1.46</v>
      </c>
      <c r="CB66">
        <v>2.34</v>
      </c>
      <c r="CC66">
        <v>2.33</v>
      </c>
      <c r="CD66">
        <v>2.2999999999999998</v>
      </c>
    </row>
    <row r="67" spans="1:82">
      <c r="A67">
        <v>10433939</v>
      </c>
      <c r="B67" s="95">
        <v>46181</v>
      </c>
      <c r="C67" s="96">
        <v>0.92453703703703705</v>
      </c>
      <c r="D67">
        <v>94.638999999999996</v>
      </c>
      <c r="E67">
        <v>1.8</v>
      </c>
      <c r="F67">
        <v>1.82</v>
      </c>
      <c r="G67">
        <v>1.83</v>
      </c>
      <c r="H67">
        <v>1.92</v>
      </c>
      <c r="I67">
        <v>1.91</v>
      </c>
      <c r="J67">
        <v>1.92</v>
      </c>
      <c r="K67">
        <v>1.36</v>
      </c>
      <c r="L67">
        <v>1.41</v>
      </c>
      <c r="M67">
        <v>1.37</v>
      </c>
      <c r="N67">
        <v>1.19</v>
      </c>
      <c r="O67">
        <v>1.2</v>
      </c>
      <c r="P67">
        <v>1.19</v>
      </c>
      <c r="Q67">
        <v>1.25</v>
      </c>
      <c r="R67">
        <v>1.26</v>
      </c>
      <c r="S67">
        <v>1.25</v>
      </c>
      <c r="T67">
        <v>1.18</v>
      </c>
      <c r="U67">
        <v>1.1599999999999999</v>
      </c>
      <c r="V67">
        <v>1.18</v>
      </c>
      <c r="W67">
        <v>1.02</v>
      </c>
      <c r="X67">
        <v>0.99</v>
      </c>
      <c r="Y67">
        <v>1.02</v>
      </c>
      <c r="Z67">
        <v>1.1499999999999999</v>
      </c>
      <c r="AA67">
        <v>1.1299999999999999</v>
      </c>
      <c r="AB67">
        <v>1.1200000000000001</v>
      </c>
      <c r="AC67">
        <v>1.29</v>
      </c>
      <c r="AD67">
        <v>1.32</v>
      </c>
      <c r="AE67">
        <v>1.36</v>
      </c>
      <c r="AF67">
        <v>1.26</v>
      </c>
      <c r="AG67">
        <v>1.26</v>
      </c>
      <c r="AH67">
        <v>1.23</v>
      </c>
      <c r="AI67">
        <v>1.32</v>
      </c>
      <c r="AJ67">
        <v>1.34</v>
      </c>
      <c r="AK67">
        <v>1.34</v>
      </c>
      <c r="AL67">
        <v>1.24</v>
      </c>
      <c r="AM67">
        <v>1.21</v>
      </c>
      <c r="AN67">
        <v>1.2</v>
      </c>
      <c r="AO67">
        <v>1.41</v>
      </c>
      <c r="AP67">
        <v>1.36</v>
      </c>
      <c r="AQ67">
        <v>1.36</v>
      </c>
      <c r="AR67">
        <v>1.18</v>
      </c>
      <c r="AS67">
        <v>1.1599999999999999</v>
      </c>
      <c r="AT67">
        <v>1.17</v>
      </c>
      <c r="AU67">
        <v>1.36</v>
      </c>
      <c r="AV67">
        <v>1.37</v>
      </c>
      <c r="AW67">
        <v>1.32</v>
      </c>
      <c r="BY67">
        <v>1.53</v>
      </c>
      <c r="BZ67">
        <v>1.45</v>
      </c>
      <c r="CA67">
        <v>1.4</v>
      </c>
      <c r="CB67">
        <v>2.31</v>
      </c>
      <c r="CC67">
        <v>2.2799999999999998</v>
      </c>
      <c r="CD67">
        <v>2.29</v>
      </c>
    </row>
    <row r="68" spans="1:82">
      <c r="A68">
        <v>10433939</v>
      </c>
      <c r="B68" s="95">
        <v>46181</v>
      </c>
      <c r="C68" s="96">
        <v>0.92562500000000003</v>
      </c>
      <c r="D68">
        <v>94.638000000000005</v>
      </c>
      <c r="E68">
        <v>1.81</v>
      </c>
      <c r="F68">
        <v>1.83</v>
      </c>
      <c r="G68">
        <v>1.84</v>
      </c>
      <c r="H68">
        <v>1.92</v>
      </c>
      <c r="I68">
        <v>1.92</v>
      </c>
      <c r="J68">
        <v>1.92</v>
      </c>
      <c r="K68">
        <v>1.36</v>
      </c>
      <c r="L68">
        <v>1.39</v>
      </c>
      <c r="M68">
        <v>1.38</v>
      </c>
      <c r="N68">
        <v>1.18</v>
      </c>
      <c r="O68">
        <v>1.2</v>
      </c>
      <c r="P68">
        <v>1.2</v>
      </c>
      <c r="Q68">
        <v>1.23</v>
      </c>
      <c r="R68">
        <v>1.26</v>
      </c>
      <c r="S68">
        <v>1.24</v>
      </c>
      <c r="T68">
        <v>1.19</v>
      </c>
      <c r="U68">
        <v>1.1599999999999999</v>
      </c>
      <c r="V68">
        <v>1.17</v>
      </c>
      <c r="W68">
        <v>1.02</v>
      </c>
      <c r="X68">
        <v>1</v>
      </c>
      <c r="Y68">
        <v>1</v>
      </c>
      <c r="Z68">
        <v>1.1499999999999999</v>
      </c>
      <c r="AA68">
        <v>1.1299999999999999</v>
      </c>
      <c r="AB68">
        <v>1.1200000000000001</v>
      </c>
      <c r="AC68">
        <v>1.3</v>
      </c>
      <c r="AD68">
        <v>1.32</v>
      </c>
      <c r="AE68">
        <v>1.34</v>
      </c>
      <c r="AF68">
        <v>1.26</v>
      </c>
      <c r="AG68">
        <v>1.26</v>
      </c>
      <c r="AH68">
        <v>1.24</v>
      </c>
      <c r="AI68">
        <v>1.33</v>
      </c>
      <c r="AJ68">
        <v>1.35</v>
      </c>
      <c r="AK68">
        <v>1.36</v>
      </c>
      <c r="AL68">
        <v>1.24</v>
      </c>
      <c r="AM68">
        <v>1.2</v>
      </c>
      <c r="AN68">
        <v>1.21</v>
      </c>
      <c r="AO68">
        <v>1.39</v>
      </c>
      <c r="AP68">
        <v>1.38</v>
      </c>
      <c r="AQ68">
        <v>1.39</v>
      </c>
      <c r="AR68">
        <v>1.19</v>
      </c>
      <c r="AS68">
        <v>1.1599999999999999</v>
      </c>
      <c r="AT68">
        <v>1.17</v>
      </c>
      <c r="AU68">
        <v>1.36</v>
      </c>
      <c r="AV68">
        <v>1.37</v>
      </c>
      <c r="AW68">
        <v>1.32</v>
      </c>
      <c r="BY68">
        <v>1.53</v>
      </c>
      <c r="BZ68">
        <v>1.48</v>
      </c>
      <c r="CA68">
        <v>1.42</v>
      </c>
      <c r="CB68">
        <v>2.3199999999999998</v>
      </c>
      <c r="CC68">
        <v>2.3199999999999998</v>
      </c>
      <c r="CD68">
        <v>2.2999999999999998</v>
      </c>
    </row>
    <row r="69" spans="1:82">
      <c r="A69">
        <v>10433939</v>
      </c>
      <c r="B69" s="95">
        <v>46181</v>
      </c>
      <c r="C69" s="96">
        <v>0.92664351851851856</v>
      </c>
      <c r="D69">
        <v>94.363</v>
      </c>
      <c r="E69">
        <v>1.82</v>
      </c>
      <c r="F69">
        <v>1.8</v>
      </c>
      <c r="G69">
        <v>1.85</v>
      </c>
      <c r="H69">
        <v>1.94</v>
      </c>
      <c r="I69">
        <v>1.91</v>
      </c>
      <c r="J69">
        <v>1.94</v>
      </c>
      <c r="K69">
        <v>1.37</v>
      </c>
      <c r="L69">
        <v>1.39</v>
      </c>
      <c r="M69">
        <v>1.37</v>
      </c>
      <c r="N69">
        <v>1.2</v>
      </c>
      <c r="O69">
        <v>1.21</v>
      </c>
      <c r="P69">
        <v>1.17</v>
      </c>
      <c r="Q69">
        <v>1.25</v>
      </c>
      <c r="R69">
        <v>1.24</v>
      </c>
      <c r="S69">
        <v>1.26</v>
      </c>
      <c r="T69">
        <v>1.21</v>
      </c>
      <c r="U69">
        <v>1.18</v>
      </c>
      <c r="V69">
        <v>1.17</v>
      </c>
      <c r="W69">
        <v>1</v>
      </c>
      <c r="X69">
        <v>0.99</v>
      </c>
      <c r="Y69">
        <v>0.96</v>
      </c>
      <c r="Z69">
        <v>1.18</v>
      </c>
      <c r="AA69">
        <v>1.1399999999999999</v>
      </c>
      <c r="AB69">
        <v>1.1100000000000001</v>
      </c>
      <c r="AC69">
        <v>1.29</v>
      </c>
      <c r="AD69">
        <v>1.31</v>
      </c>
      <c r="AE69">
        <v>1.32</v>
      </c>
      <c r="AF69">
        <v>1.26</v>
      </c>
      <c r="AG69">
        <v>1.25</v>
      </c>
      <c r="AH69">
        <v>1.24</v>
      </c>
      <c r="AI69">
        <v>1.27</v>
      </c>
      <c r="AJ69">
        <v>1.32</v>
      </c>
      <c r="AK69">
        <v>1.28</v>
      </c>
      <c r="AL69">
        <v>1.24</v>
      </c>
      <c r="AM69">
        <v>1.22</v>
      </c>
      <c r="AN69">
        <v>1.2</v>
      </c>
      <c r="AO69">
        <v>1.33</v>
      </c>
      <c r="AP69">
        <v>1.35</v>
      </c>
      <c r="AQ69">
        <v>1.28</v>
      </c>
      <c r="AR69">
        <v>1.18</v>
      </c>
      <c r="AS69">
        <v>1.1599999999999999</v>
      </c>
      <c r="AT69">
        <v>1.17</v>
      </c>
      <c r="AU69">
        <v>1.32</v>
      </c>
      <c r="AV69">
        <v>1.32</v>
      </c>
      <c r="AW69">
        <v>1.26</v>
      </c>
      <c r="BY69">
        <v>1.51</v>
      </c>
      <c r="BZ69">
        <v>1.48</v>
      </c>
      <c r="CA69">
        <v>1.42</v>
      </c>
      <c r="CB69">
        <v>2.37</v>
      </c>
      <c r="CC69">
        <v>2.36</v>
      </c>
      <c r="CD69">
        <v>2.35</v>
      </c>
    </row>
    <row r="70" spans="1:82">
      <c r="A70">
        <v>10433939</v>
      </c>
      <c r="B70" s="95">
        <v>46181</v>
      </c>
      <c r="C70" s="96">
        <v>0.92766203703703709</v>
      </c>
      <c r="D70">
        <v>94.792000000000002</v>
      </c>
      <c r="E70">
        <v>1.8</v>
      </c>
      <c r="F70">
        <v>1.87</v>
      </c>
      <c r="G70">
        <v>1.82</v>
      </c>
      <c r="H70">
        <v>1.93</v>
      </c>
      <c r="I70">
        <v>1.9</v>
      </c>
      <c r="J70">
        <v>1.92</v>
      </c>
      <c r="K70">
        <v>1.37</v>
      </c>
      <c r="L70">
        <v>1.39</v>
      </c>
      <c r="M70">
        <v>1.37</v>
      </c>
      <c r="N70">
        <v>1.2</v>
      </c>
      <c r="O70">
        <v>1.18</v>
      </c>
      <c r="P70">
        <v>1.19</v>
      </c>
      <c r="Q70">
        <v>1.29</v>
      </c>
      <c r="R70">
        <v>1.26</v>
      </c>
      <c r="S70">
        <v>1.26</v>
      </c>
      <c r="T70">
        <v>1.22</v>
      </c>
      <c r="U70">
        <v>1.17</v>
      </c>
      <c r="V70">
        <v>1.18</v>
      </c>
      <c r="W70">
        <v>1.03</v>
      </c>
      <c r="X70">
        <v>0.99</v>
      </c>
      <c r="Y70">
        <v>0.97</v>
      </c>
      <c r="Z70">
        <v>1.19</v>
      </c>
      <c r="AA70">
        <v>1.1499999999999999</v>
      </c>
      <c r="AB70">
        <v>1.1200000000000001</v>
      </c>
      <c r="AC70">
        <v>1.38</v>
      </c>
      <c r="AD70">
        <v>1.36</v>
      </c>
      <c r="AE70">
        <v>1.31</v>
      </c>
      <c r="AF70">
        <v>1.27</v>
      </c>
      <c r="AG70">
        <v>1.26</v>
      </c>
      <c r="AH70">
        <v>1.25</v>
      </c>
      <c r="AI70">
        <v>1.24</v>
      </c>
      <c r="AJ70">
        <v>1.35</v>
      </c>
      <c r="AK70">
        <v>1.26</v>
      </c>
      <c r="AL70">
        <v>1.26</v>
      </c>
      <c r="AM70">
        <v>1.25</v>
      </c>
      <c r="AN70">
        <v>1.21</v>
      </c>
      <c r="AO70">
        <v>1.35</v>
      </c>
      <c r="AP70">
        <v>1.32</v>
      </c>
      <c r="AQ70">
        <v>1.29</v>
      </c>
      <c r="AR70">
        <v>1.17</v>
      </c>
      <c r="AS70">
        <v>1.17</v>
      </c>
      <c r="AT70">
        <v>1.18</v>
      </c>
      <c r="AU70">
        <v>1.3</v>
      </c>
      <c r="AV70">
        <v>1.36</v>
      </c>
      <c r="AW70">
        <v>1.32</v>
      </c>
      <c r="BY70">
        <v>1.52</v>
      </c>
      <c r="BZ70">
        <v>1.47</v>
      </c>
      <c r="CA70">
        <v>1.44</v>
      </c>
      <c r="CB70">
        <v>2.36</v>
      </c>
      <c r="CC70">
        <v>2.34</v>
      </c>
      <c r="CD70">
        <v>2.35</v>
      </c>
    </row>
    <row r="71" spans="1:82">
      <c r="A71">
        <v>10433939</v>
      </c>
      <c r="B71" s="95">
        <v>46182</v>
      </c>
      <c r="C71" s="96">
        <v>0.73322916666666671</v>
      </c>
      <c r="D71">
        <v>94.816000000000003</v>
      </c>
      <c r="E71">
        <v>1.87</v>
      </c>
      <c r="F71">
        <v>1.9</v>
      </c>
      <c r="G71">
        <v>1.86</v>
      </c>
      <c r="H71">
        <v>1.92</v>
      </c>
      <c r="I71">
        <v>1.92</v>
      </c>
      <c r="J71">
        <v>1.9</v>
      </c>
      <c r="K71">
        <v>1.47</v>
      </c>
      <c r="L71">
        <v>1.48</v>
      </c>
      <c r="M71">
        <v>1.41</v>
      </c>
      <c r="N71">
        <v>1.18</v>
      </c>
      <c r="O71">
        <v>1.19</v>
      </c>
      <c r="P71">
        <v>1.17</v>
      </c>
      <c r="Q71">
        <v>1.26</v>
      </c>
      <c r="R71">
        <v>1.31</v>
      </c>
      <c r="S71">
        <v>1.25</v>
      </c>
      <c r="T71">
        <v>1.1599999999999999</v>
      </c>
      <c r="U71">
        <v>1.1599999999999999</v>
      </c>
      <c r="V71">
        <v>1.17</v>
      </c>
      <c r="W71">
        <v>1.03</v>
      </c>
      <c r="X71">
        <v>1.02</v>
      </c>
      <c r="Y71">
        <v>0.99</v>
      </c>
      <c r="Z71">
        <v>1.2</v>
      </c>
      <c r="AA71">
        <v>1.1499999999999999</v>
      </c>
      <c r="AB71">
        <v>1.1200000000000001</v>
      </c>
      <c r="AC71">
        <v>1.29</v>
      </c>
      <c r="AD71">
        <v>1.33</v>
      </c>
      <c r="AE71">
        <v>1.27</v>
      </c>
      <c r="AF71">
        <v>1.26</v>
      </c>
      <c r="AG71">
        <v>1.26</v>
      </c>
      <c r="AH71">
        <v>1.23</v>
      </c>
      <c r="AI71">
        <v>1.27</v>
      </c>
      <c r="AJ71">
        <v>1.22</v>
      </c>
      <c r="AK71">
        <v>1.21</v>
      </c>
      <c r="AL71">
        <v>1.25</v>
      </c>
      <c r="AM71">
        <v>1.24</v>
      </c>
      <c r="AN71">
        <v>1.2</v>
      </c>
      <c r="AO71">
        <v>1.42</v>
      </c>
      <c r="AP71">
        <v>1.34</v>
      </c>
      <c r="AQ71">
        <v>1.37</v>
      </c>
      <c r="AR71">
        <v>1.1499999999999999</v>
      </c>
      <c r="AS71">
        <v>1.1299999999999999</v>
      </c>
      <c r="AT71">
        <v>1.1499999999999999</v>
      </c>
      <c r="AU71">
        <v>1.35</v>
      </c>
      <c r="AV71">
        <v>1.36</v>
      </c>
      <c r="AW71">
        <v>1.34</v>
      </c>
      <c r="BY71">
        <v>1.48</v>
      </c>
      <c r="BZ71">
        <v>1.48</v>
      </c>
      <c r="CA71">
        <v>1.42</v>
      </c>
      <c r="CB71">
        <v>2.33</v>
      </c>
      <c r="CC71">
        <v>2.34</v>
      </c>
      <c r="CD71">
        <v>2.31</v>
      </c>
    </row>
    <row r="72" spans="1:82">
      <c r="A72">
        <v>10433939</v>
      </c>
      <c r="B72" s="95">
        <v>46182</v>
      </c>
      <c r="C72" s="96">
        <v>0.73454861111111114</v>
      </c>
      <c r="D72">
        <v>94.786000000000001</v>
      </c>
      <c r="E72">
        <v>1.89</v>
      </c>
      <c r="F72">
        <v>1.93</v>
      </c>
      <c r="G72">
        <v>1.89</v>
      </c>
      <c r="H72">
        <v>1.9</v>
      </c>
      <c r="I72">
        <v>1.93</v>
      </c>
      <c r="J72">
        <v>1.91</v>
      </c>
      <c r="K72">
        <v>1.46</v>
      </c>
      <c r="L72">
        <v>1.45</v>
      </c>
      <c r="M72">
        <v>1.4</v>
      </c>
      <c r="N72">
        <v>1.19</v>
      </c>
      <c r="O72">
        <v>1.22</v>
      </c>
      <c r="P72">
        <v>1.19</v>
      </c>
      <c r="Q72">
        <v>1.29</v>
      </c>
      <c r="R72">
        <v>1.28</v>
      </c>
      <c r="S72">
        <v>1.27</v>
      </c>
      <c r="T72">
        <v>1.2</v>
      </c>
      <c r="U72">
        <v>1.19</v>
      </c>
      <c r="V72">
        <v>1.21</v>
      </c>
      <c r="W72">
        <v>1.07</v>
      </c>
      <c r="X72">
        <v>1.07</v>
      </c>
      <c r="Y72">
        <v>1.1000000000000001</v>
      </c>
      <c r="Z72">
        <v>1.19</v>
      </c>
      <c r="AA72">
        <v>1.17</v>
      </c>
      <c r="AB72">
        <v>1.1599999999999999</v>
      </c>
      <c r="AC72">
        <v>1.31</v>
      </c>
      <c r="AD72">
        <v>1.34</v>
      </c>
      <c r="AE72">
        <v>1.3</v>
      </c>
      <c r="AF72">
        <v>1.29</v>
      </c>
      <c r="AG72">
        <v>1.28</v>
      </c>
      <c r="AH72">
        <v>1.27</v>
      </c>
      <c r="AI72">
        <v>1.29</v>
      </c>
      <c r="AJ72">
        <v>1.26</v>
      </c>
      <c r="AK72">
        <v>1.25</v>
      </c>
      <c r="AL72">
        <v>1.26</v>
      </c>
      <c r="AM72">
        <v>1.28</v>
      </c>
      <c r="AN72">
        <v>1.24</v>
      </c>
      <c r="AO72">
        <v>1.39</v>
      </c>
      <c r="AP72">
        <v>1.36</v>
      </c>
      <c r="AQ72">
        <v>1.39</v>
      </c>
      <c r="AR72">
        <v>1.19</v>
      </c>
      <c r="AS72">
        <v>1.1599999999999999</v>
      </c>
      <c r="AT72">
        <v>1.17</v>
      </c>
      <c r="AU72">
        <v>1.37</v>
      </c>
      <c r="AV72">
        <v>1.38</v>
      </c>
      <c r="AW72">
        <v>1.36</v>
      </c>
      <c r="BY72">
        <v>1.49</v>
      </c>
      <c r="BZ72">
        <v>1.51</v>
      </c>
      <c r="CA72">
        <v>1.46</v>
      </c>
      <c r="CB72">
        <v>2.34</v>
      </c>
      <c r="CC72">
        <v>2.36</v>
      </c>
      <c r="CD72">
        <v>2.34</v>
      </c>
    </row>
    <row r="73" spans="1:82">
      <c r="A73">
        <v>10433939</v>
      </c>
      <c r="B73" s="95">
        <v>46182</v>
      </c>
      <c r="C73" s="96">
        <v>0.73562499999999997</v>
      </c>
      <c r="D73">
        <v>94.313000000000002</v>
      </c>
      <c r="E73">
        <v>1.88</v>
      </c>
      <c r="F73">
        <v>1.92</v>
      </c>
      <c r="G73">
        <v>1.86</v>
      </c>
      <c r="H73">
        <v>1.91</v>
      </c>
      <c r="I73">
        <v>1.93</v>
      </c>
      <c r="J73">
        <v>1.92</v>
      </c>
      <c r="K73">
        <v>1.45</v>
      </c>
      <c r="L73">
        <v>1.46</v>
      </c>
      <c r="M73">
        <v>1.43</v>
      </c>
      <c r="N73">
        <v>1.21</v>
      </c>
      <c r="O73">
        <v>1.19</v>
      </c>
      <c r="P73">
        <v>1.1599999999999999</v>
      </c>
      <c r="Q73">
        <v>1.32</v>
      </c>
      <c r="R73">
        <v>1.31</v>
      </c>
      <c r="S73">
        <v>1.28</v>
      </c>
      <c r="T73">
        <v>1.18</v>
      </c>
      <c r="U73">
        <v>1.1599999999999999</v>
      </c>
      <c r="V73">
        <v>1.17</v>
      </c>
      <c r="W73">
        <v>1.0900000000000001</v>
      </c>
      <c r="X73">
        <v>1.02</v>
      </c>
      <c r="Y73">
        <v>0.96</v>
      </c>
      <c r="Z73">
        <v>1.1299999999999999</v>
      </c>
      <c r="AA73">
        <v>1.1299999999999999</v>
      </c>
      <c r="AB73">
        <v>1.1399999999999999</v>
      </c>
      <c r="AC73">
        <v>1.32</v>
      </c>
      <c r="AD73">
        <v>1.29</v>
      </c>
      <c r="AE73">
        <v>1.26</v>
      </c>
      <c r="AF73">
        <v>1.26</v>
      </c>
      <c r="AG73">
        <v>1.24</v>
      </c>
      <c r="AH73">
        <v>1.23</v>
      </c>
      <c r="AI73">
        <v>1.22</v>
      </c>
      <c r="AJ73">
        <v>1.3</v>
      </c>
      <c r="AK73">
        <v>1.22</v>
      </c>
      <c r="AL73">
        <v>1.22</v>
      </c>
      <c r="AM73">
        <v>1.21</v>
      </c>
      <c r="AN73">
        <v>1.18</v>
      </c>
      <c r="AO73">
        <v>1.39</v>
      </c>
      <c r="AP73">
        <v>1.3</v>
      </c>
      <c r="AQ73">
        <v>1.32</v>
      </c>
      <c r="AR73">
        <v>1.1399999999999999</v>
      </c>
      <c r="AS73">
        <v>1.1399999999999999</v>
      </c>
      <c r="AT73">
        <v>1.1599999999999999</v>
      </c>
      <c r="AU73">
        <v>1.37</v>
      </c>
      <c r="AV73">
        <v>1.32</v>
      </c>
      <c r="AW73">
        <v>1.33</v>
      </c>
      <c r="BY73">
        <v>1.46</v>
      </c>
      <c r="BZ73">
        <v>1.39</v>
      </c>
      <c r="CA73">
        <v>1.41</v>
      </c>
      <c r="CB73">
        <v>2.3199999999999998</v>
      </c>
      <c r="CC73">
        <v>2.29</v>
      </c>
      <c r="CD73">
        <v>2.33</v>
      </c>
    </row>
    <row r="74" spans="1:82">
      <c r="A74">
        <v>10433939</v>
      </c>
      <c r="B74" s="95">
        <v>46182</v>
      </c>
      <c r="C74" s="96">
        <v>0.73703703703703705</v>
      </c>
      <c r="D74">
        <v>94.286000000000001</v>
      </c>
      <c r="E74">
        <v>1.89</v>
      </c>
      <c r="F74">
        <v>1.86</v>
      </c>
      <c r="G74">
        <v>1.89</v>
      </c>
      <c r="H74">
        <v>1.9</v>
      </c>
      <c r="I74">
        <v>1.94</v>
      </c>
      <c r="J74">
        <v>1.91</v>
      </c>
      <c r="K74">
        <v>1.46</v>
      </c>
      <c r="L74">
        <v>1.45</v>
      </c>
      <c r="M74">
        <v>1.41</v>
      </c>
      <c r="N74">
        <v>1.2</v>
      </c>
      <c r="O74">
        <v>1.22</v>
      </c>
      <c r="P74">
        <v>1.19</v>
      </c>
      <c r="Q74">
        <v>1.29</v>
      </c>
      <c r="R74">
        <v>1.26</v>
      </c>
      <c r="S74">
        <v>1.29</v>
      </c>
      <c r="T74">
        <v>1.21</v>
      </c>
      <c r="U74">
        <v>1.19</v>
      </c>
      <c r="V74">
        <v>1.2</v>
      </c>
      <c r="W74">
        <v>1.1000000000000001</v>
      </c>
      <c r="X74">
        <v>1.07</v>
      </c>
      <c r="Y74">
        <v>1</v>
      </c>
      <c r="Z74">
        <v>1.1599999999999999</v>
      </c>
      <c r="AA74">
        <v>1.1499999999999999</v>
      </c>
      <c r="AB74">
        <v>1.18</v>
      </c>
      <c r="AC74">
        <v>1.31</v>
      </c>
      <c r="AD74">
        <v>1.26</v>
      </c>
      <c r="AE74">
        <v>1.29</v>
      </c>
      <c r="AF74">
        <v>1.29</v>
      </c>
      <c r="AG74">
        <v>1.26</v>
      </c>
      <c r="AH74">
        <v>1.29</v>
      </c>
      <c r="AI74">
        <v>1.26</v>
      </c>
      <c r="AJ74">
        <v>1.29</v>
      </c>
      <c r="AK74">
        <v>1.26</v>
      </c>
      <c r="AL74">
        <v>1.26</v>
      </c>
      <c r="AM74">
        <v>1.25</v>
      </c>
      <c r="AN74">
        <v>1.19</v>
      </c>
      <c r="AO74">
        <v>1.35</v>
      </c>
      <c r="AP74">
        <v>1.32</v>
      </c>
      <c r="AQ74">
        <v>1.35</v>
      </c>
      <c r="AR74">
        <v>1.1599999999999999</v>
      </c>
      <c r="AS74">
        <v>1.1499999999999999</v>
      </c>
      <c r="AT74">
        <v>1.17</v>
      </c>
      <c r="AU74">
        <v>1.31</v>
      </c>
      <c r="AV74">
        <v>1.35</v>
      </c>
      <c r="AW74">
        <v>1.36</v>
      </c>
      <c r="BY74">
        <v>1.47</v>
      </c>
      <c r="BZ74">
        <v>1.41</v>
      </c>
      <c r="CA74">
        <v>1.45</v>
      </c>
      <c r="CB74">
        <v>2.36</v>
      </c>
      <c r="CC74">
        <v>2.3199999999999998</v>
      </c>
      <c r="CD74">
        <v>2.35</v>
      </c>
    </row>
    <row r="75" spans="1:82">
      <c r="A75">
        <v>10433939</v>
      </c>
      <c r="B75" s="95">
        <v>46184</v>
      </c>
      <c r="C75" s="96">
        <v>0.74466435185185187</v>
      </c>
      <c r="D75">
        <v>91.576999999999998</v>
      </c>
      <c r="E75">
        <v>1.9</v>
      </c>
      <c r="F75">
        <v>2.02</v>
      </c>
      <c r="G75">
        <v>1.99</v>
      </c>
      <c r="H75">
        <v>2</v>
      </c>
      <c r="I75">
        <v>1.94</v>
      </c>
      <c r="J75">
        <v>1.99</v>
      </c>
      <c r="K75">
        <v>1.42</v>
      </c>
      <c r="L75">
        <v>1.43</v>
      </c>
      <c r="M75">
        <v>1.44</v>
      </c>
      <c r="N75">
        <v>1.1599999999999999</v>
      </c>
      <c r="O75">
        <v>1.1299999999999999</v>
      </c>
      <c r="P75">
        <v>1.1299999999999999</v>
      </c>
      <c r="Q75">
        <v>1.22</v>
      </c>
      <c r="R75">
        <v>1.22</v>
      </c>
      <c r="S75">
        <v>1.26</v>
      </c>
      <c r="T75">
        <v>1.2</v>
      </c>
      <c r="U75">
        <v>1.18</v>
      </c>
      <c r="V75">
        <v>1.2</v>
      </c>
      <c r="W75">
        <v>1.02</v>
      </c>
      <c r="X75">
        <v>1</v>
      </c>
      <c r="Y75">
        <v>1.03</v>
      </c>
      <c r="Z75">
        <v>1.1299999999999999</v>
      </c>
      <c r="AA75">
        <v>1.0900000000000001</v>
      </c>
      <c r="AB75">
        <v>1.0900000000000001</v>
      </c>
      <c r="AC75">
        <v>1.35</v>
      </c>
      <c r="AD75">
        <v>1.3</v>
      </c>
      <c r="AE75">
        <v>1.28</v>
      </c>
      <c r="AF75">
        <v>1.28</v>
      </c>
      <c r="AG75">
        <v>1.25</v>
      </c>
      <c r="AH75">
        <v>1.26</v>
      </c>
      <c r="AI75">
        <v>1.26</v>
      </c>
      <c r="AJ75">
        <v>1.28</v>
      </c>
      <c r="AK75">
        <v>1.17</v>
      </c>
      <c r="AL75">
        <v>1.28</v>
      </c>
      <c r="AM75">
        <v>1.28</v>
      </c>
      <c r="AN75">
        <v>1.29</v>
      </c>
      <c r="AO75">
        <v>1.33</v>
      </c>
      <c r="AP75">
        <v>1.3</v>
      </c>
      <c r="AQ75">
        <v>1.29</v>
      </c>
      <c r="AR75">
        <v>1.22</v>
      </c>
      <c r="AS75">
        <v>1.2</v>
      </c>
      <c r="AT75">
        <v>1.18</v>
      </c>
      <c r="AU75">
        <v>1.21</v>
      </c>
      <c r="AV75">
        <v>1.23</v>
      </c>
      <c r="AW75">
        <v>1.29</v>
      </c>
      <c r="BY75">
        <v>1.48</v>
      </c>
      <c r="BZ75">
        <v>1.46</v>
      </c>
      <c r="CA75">
        <v>1.48</v>
      </c>
      <c r="CB75">
        <v>2.37</v>
      </c>
      <c r="CC75">
        <v>2.39</v>
      </c>
      <c r="CD75">
        <v>2.4</v>
      </c>
    </row>
    <row r="76" spans="1:82">
      <c r="A76">
        <v>10433939</v>
      </c>
      <c r="B76" s="95">
        <v>46184</v>
      </c>
      <c r="C76" s="96">
        <v>0.74587962962962961</v>
      </c>
      <c r="D76">
        <v>91.578000000000003</v>
      </c>
      <c r="E76">
        <v>1.9</v>
      </c>
      <c r="F76">
        <v>2</v>
      </c>
      <c r="G76">
        <v>1.98</v>
      </c>
      <c r="H76">
        <v>1.99</v>
      </c>
      <c r="I76">
        <v>1.98</v>
      </c>
      <c r="J76">
        <v>1.99</v>
      </c>
      <c r="K76">
        <v>1.99</v>
      </c>
      <c r="L76">
        <v>1.98</v>
      </c>
      <c r="M76">
        <v>1.99</v>
      </c>
      <c r="N76">
        <v>1.42</v>
      </c>
      <c r="O76">
        <v>1.42</v>
      </c>
      <c r="P76">
        <v>1.42</v>
      </c>
      <c r="Q76">
        <v>1.1599999999999999</v>
      </c>
      <c r="R76">
        <v>1.1299999999999999</v>
      </c>
      <c r="S76">
        <v>1.1200000000000001</v>
      </c>
      <c r="T76">
        <v>1.2</v>
      </c>
      <c r="U76">
        <v>1.21</v>
      </c>
      <c r="V76">
        <v>1.24</v>
      </c>
      <c r="W76">
        <v>1.2</v>
      </c>
      <c r="X76">
        <v>1.19</v>
      </c>
      <c r="Y76">
        <v>1.2</v>
      </c>
      <c r="Z76">
        <v>1.02</v>
      </c>
      <c r="AA76">
        <v>1</v>
      </c>
      <c r="AB76">
        <v>1.02</v>
      </c>
      <c r="AC76">
        <v>1.0900000000000001</v>
      </c>
      <c r="AD76">
        <v>1.1000000000000001</v>
      </c>
      <c r="AE76">
        <v>1.0900000000000001</v>
      </c>
      <c r="AF76">
        <v>1.32</v>
      </c>
      <c r="AG76">
        <v>1.3</v>
      </c>
      <c r="AH76">
        <v>1.29</v>
      </c>
      <c r="AI76">
        <v>1.28</v>
      </c>
      <c r="AJ76">
        <v>1.26</v>
      </c>
      <c r="AK76">
        <v>1.26</v>
      </c>
      <c r="AL76">
        <v>1.26</v>
      </c>
      <c r="AM76">
        <v>1.28</v>
      </c>
      <c r="AN76">
        <v>1.19</v>
      </c>
      <c r="AO76">
        <v>1.26</v>
      </c>
      <c r="AP76">
        <v>1.27</v>
      </c>
      <c r="AQ76">
        <v>1.28</v>
      </c>
      <c r="AR76">
        <v>1.32</v>
      </c>
      <c r="AS76">
        <v>1.3</v>
      </c>
      <c r="AT76">
        <v>1.29</v>
      </c>
      <c r="AU76">
        <v>1.2</v>
      </c>
      <c r="AV76">
        <v>1.19</v>
      </c>
      <c r="AW76">
        <v>1.19</v>
      </c>
      <c r="AX76">
        <v>1.21</v>
      </c>
      <c r="AY76">
        <v>1.26</v>
      </c>
      <c r="AZ76">
        <v>1.28</v>
      </c>
      <c r="BY76">
        <v>1.46</v>
      </c>
      <c r="BZ76">
        <v>1.47</v>
      </c>
      <c r="CA76">
        <v>1.48</v>
      </c>
      <c r="CB76">
        <v>2.39</v>
      </c>
      <c r="CC76">
        <v>2.38</v>
      </c>
      <c r="CD76">
        <v>2.4</v>
      </c>
    </row>
    <row r="77" spans="1:82">
      <c r="A77">
        <v>10433939</v>
      </c>
      <c r="B77" s="95">
        <v>46184</v>
      </c>
      <c r="C77" s="96">
        <v>0.74724537037037042</v>
      </c>
      <c r="D77">
        <v>91.277000000000001</v>
      </c>
      <c r="E77">
        <v>1.96</v>
      </c>
      <c r="F77">
        <v>1.99</v>
      </c>
      <c r="G77">
        <v>1.89</v>
      </c>
      <c r="H77">
        <v>1.99</v>
      </c>
      <c r="I77">
        <v>1.93</v>
      </c>
      <c r="J77">
        <v>1.97</v>
      </c>
      <c r="K77">
        <v>1.43</v>
      </c>
      <c r="L77">
        <v>1.4</v>
      </c>
      <c r="M77">
        <v>1.41</v>
      </c>
      <c r="N77">
        <v>1.18</v>
      </c>
      <c r="O77">
        <v>1.1599999999999999</v>
      </c>
      <c r="P77">
        <v>1.2</v>
      </c>
      <c r="Q77">
        <v>1.22</v>
      </c>
      <c r="R77">
        <v>1.19</v>
      </c>
      <c r="S77">
        <v>1.23</v>
      </c>
      <c r="T77">
        <v>1.18</v>
      </c>
      <c r="U77">
        <v>1.18</v>
      </c>
      <c r="V77">
        <v>1.19</v>
      </c>
      <c r="W77">
        <v>1</v>
      </c>
      <c r="X77">
        <v>0.98</v>
      </c>
      <c r="Y77">
        <v>1</v>
      </c>
      <c r="Z77">
        <v>1.1499999999999999</v>
      </c>
      <c r="AA77">
        <v>1.1200000000000001</v>
      </c>
      <c r="AB77">
        <v>1.1299999999999999</v>
      </c>
      <c r="AC77">
        <v>1.33</v>
      </c>
      <c r="AD77">
        <v>1.3</v>
      </c>
      <c r="AE77">
        <v>1.32</v>
      </c>
      <c r="AF77">
        <v>1.26</v>
      </c>
      <c r="AG77">
        <v>1.24</v>
      </c>
      <c r="AH77">
        <v>1.26</v>
      </c>
      <c r="AI77">
        <v>1.27</v>
      </c>
      <c r="AJ77">
        <v>1.26</v>
      </c>
      <c r="AK77">
        <v>1.25</v>
      </c>
      <c r="AL77">
        <v>1.24</v>
      </c>
      <c r="AM77">
        <v>1.23</v>
      </c>
      <c r="AN77">
        <v>1.24</v>
      </c>
      <c r="AO77">
        <v>1.38</v>
      </c>
      <c r="AP77">
        <v>1.29</v>
      </c>
      <c r="AQ77">
        <v>1.3</v>
      </c>
      <c r="AR77">
        <v>1.19</v>
      </c>
      <c r="AS77">
        <v>1.18</v>
      </c>
      <c r="AT77">
        <v>1.23</v>
      </c>
      <c r="AU77">
        <v>1.28</v>
      </c>
      <c r="AV77">
        <v>1.27</v>
      </c>
      <c r="AW77">
        <v>1.26</v>
      </c>
      <c r="BY77">
        <v>1.5</v>
      </c>
      <c r="BZ77">
        <v>1.46</v>
      </c>
      <c r="CA77">
        <v>1.46</v>
      </c>
      <c r="CB77">
        <v>2.38</v>
      </c>
      <c r="CC77">
        <v>2.36</v>
      </c>
      <c r="CD77">
        <v>2.37</v>
      </c>
    </row>
    <row r="78" spans="1:82">
      <c r="A78">
        <v>10433939</v>
      </c>
      <c r="B78" s="95">
        <v>46184</v>
      </c>
      <c r="C78" s="96">
        <v>0.74844907407407413</v>
      </c>
      <c r="D78">
        <v>91.268000000000001</v>
      </c>
      <c r="E78">
        <v>1.98</v>
      </c>
      <c r="F78">
        <v>1.97</v>
      </c>
      <c r="G78">
        <v>1.96</v>
      </c>
      <c r="H78">
        <v>1.99</v>
      </c>
      <c r="I78">
        <v>1.94</v>
      </c>
      <c r="J78">
        <v>1.96</v>
      </c>
      <c r="K78">
        <v>1.41</v>
      </c>
      <c r="L78">
        <v>1.42</v>
      </c>
      <c r="M78">
        <v>1.43</v>
      </c>
      <c r="N78">
        <v>1.18</v>
      </c>
      <c r="O78">
        <v>1.1599999999999999</v>
      </c>
      <c r="P78">
        <v>1.2</v>
      </c>
      <c r="Q78">
        <v>1.22</v>
      </c>
      <c r="R78">
        <v>1.2</v>
      </c>
      <c r="S78">
        <v>1.23</v>
      </c>
      <c r="T78">
        <v>1.18</v>
      </c>
      <c r="U78">
        <v>1.19</v>
      </c>
      <c r="V78">
        <v>1.2</v>
      </c>
      <c r="W78">
        <v>1</v>
      </c>
      <c r="X78">
        <v>0.99</v>
      </c>
      <c r="Y78">
        <v>1</v>
      </c>
      <c r="Z78">
        <v>1.1299999999999999</v>
      </c>
      <c r="AA78">
        <v>1.1599999999999999</v>
      </c>
      <c r="AB78">
        <v>1.1499999999999999</v>
      </c>
      <c r="AC78">
        <v>1.33</v>
      </c>
      <c r="AD78">
        <v>1.3</v>
      </c>
      <c r="AE78">
        <v>1.32</v>
      </c>
      <c r="AF78">
        <v>1.26</v>
      </c>
      <c r="AG78">
        <v>1.24</v>
      </c>
      <c r="AH78">
        <v>1.25</v>
      </c>
      <c r="AI78">
        <v>1.26</v>
      </c>
      <c r="AJ78">
        <v>1.25</v>
      </c>
      <c r="AK78">
        <v>1.24</v>
      </c>
      <c r="AL78">
        <v>1.23</v>
      </c>
      <c r="AM78">
        <v>1.26</v>
      </c>
      <c r="AN78">
        <v>1.24</v>
      </c>
      <c r="AO78">
        <v>1.36</v>
      </c>
      <c r="AP78">
        <v>1.3</v>
      </c>
      <c r="AQ78">
        <v>1.31</v>
      </c>
      <c r="AR78">
        <v>1.19</v>
      </c>
      <c r="AS78">
        <v>1.18</v>
      </c>
      <c r="AT78">
        <v>1.23</v>
      </c>
      <c r="AU78">
        <v>1.28</v>
      </c>
      <c r="AV78">
        <v>1.26</v>
      </c>
      <c r="AW78">
        <v>1.26</v>
      </c>
      <c r="BY78">
        <v>1.5</v>
      </c>
      <c r="BZ78">
        <v>1.48</v>
      </c>
      <c r="CA78">
        <v>1.46</v>
      </c>
      <c r="CB78">
        <v>2.36</v>
      </c>
      <c r="CC78">
        <v>2.36</v>
      </c>
      <c r="CD78">
        <v>2.37</v>
      </c>
    </row>
    <row r="79" spans="1:82">
      <c r="A79">
        <v>10433939</v>
      </c>
      <c r="B79" s="95">
        <v>46185</v>
      </c>
      <c r="C79" s="96">
        <v>0.69307870370370372</v>
      </c>
      <c r="D79">
        <v>91.531999999999996</v>
      </c>
      <c r="E79">
        <v>1.85</v>
      </c>
      <c r="F79">
        <v>1.95</v>
      </c>
      <c r="G79">
        <v>1.82</v>
      </c>
      <c r="H79">
        <v>2</v>
      </c>
      <c r="I79">
        <v>1.93</v>
      </c>
      <c r="J79">
        <v>1.94</v>
      </c>
      <c r="K79">
        <v>1.47</v>
      </c>
      <c r="L79">
        <v>1.43</v>
      </c>
      <c r="M79">
        <v>1.41</v>
      </c>
      <c r="N79">
        <v>1.21</v>
      </c>
      <c r="O79">
        <v>1.19</v>
      </c>
      <c r="P79">
        <v>1.18</v>
      </c>
      <c r="Q79">
        <v>1.27</v>
      </c>
      <c r="R79">
        <v>1.22</v>
      </c>
      <c r="S79">
        <v>1.24</v>
      </c>
      <c r="T79">
        <v>1.22</v>
      </c>
      <c r="U79">
        <v>1.2</v>
      </c>
      <c r="V79">
        <v>1.2</v>
      </c>
      <c r="W79">
        <v>1.03</v>
      </c>
      <c r="X79">
        <v>0.99</v>
      </c>
      <c r="Y79">
        <v>1</v>
      </c>
      <c r="Z79">
        <v>1.18</v>
      </c>
      <c r="AA79">
        <v>1.1499999999999999</v>
      </c>
      <c r="AB79">
        <v>1.1399999999999999</v>
      </c>
      <c r="AC79">
        <v>1.36</v>
      </c>
      <c r="AD79">
        <v>1.3</v>
      </c>
      <c r="AE79">
        <v>1.28</v>
      </c>
      <c r="AF79">
        <v>1.28</v>
      </c>
      <c r="AG79">
        <v>1.27</v>
      </c>
      <c r="AH79">
        <v>1.26</v>
      </c>
      <c r="AI79">
        <v>1.35</v>
      </c>
      <c r="AJ79">
        <v>1.29</v>
      </c>
      <c r="AK79">
        <v>1.3</v>
      </c>
      <c r="AL79">
        <v>1.27</v>
      </c>
      <c r="AM79">
        <v>1.25</v>
      </c>
      <c r="AN79">
        <v>1.23</v>
      </c>
      <c r="AO79">
        <v>1.37</v>
      </c>
      <c r="AP79">
        <v>1.33</v>
      </c>
      <c r="AQ79">
        <v>1.3</v>
      </c>
      <c r="AR79">
        <v>1.1599999999999999</v>
      </c>
      <c r="AS79">
        <v>1.18</v>
      </c>
      <c r="AT79">
        <v>1.1599999999999999</v>
      </c>
      <c r="AU79">
        <v>1.36</v>
      </c>
      <c r="AV79">
        <v>1.3</v>
      </c>
      <c r="AW79">
        <v>1.25</v>
      </c>
      <c r="BY79">
        <v>1.5</v>
      </c>
      <c r="BZ79">
        <v>1.47</v>
      </c>
      <c r="CA79">
        <v>1.45</v>
      </c>
      <c r="CB79">
        <v>2.38</v>
      </c>
      <c r="CC79">
        <v>2.36</v>
      </c>
      <c r="CD79">
        <v>2.36</v>
      </c>
    </row>
    <row r="80" spans="1:82">
      <c r="A80">
        <v>10433939</v>
      </c>
      <c r="B80" s="95">
        <v>46185</v>
      </c>
      <c r="C80" s="96">
        <v>0.6959143518518518</v>
      </c>
      <c r="D80">
        <v>91.659000000000006</v>
      </c>
      <c r="E80">
        <v>186</v>
      </c>
      <c r="F80">
        <v>1.96</v>
      </c>
      <c r="G80">
        <v>1.83</v>
      </c>
      <c r="H80">
        <v>2.0099999999999998</v>
      </c>
      <c r="I80">
        <v>1.94</v>
      </c>
      <c r="J80">
        <v>1.95</v>
      </c>
      <c r="K80">
        <v>1.45</v>
      </c>
      <c r="L80">
        <v>1.42</v>
      </c>
      <c r="M80">
        <v>1.4</v>
      </c>
      <c r="N80">
        <v>1.22</v>
      </c>
      <c r="O80">
        <v>1.2</v>
      </c>
      <c r="P80">
        <v>1.19</v>
      </c>
      <c r="Q80">
        <v>1.26</v>
      </c>
      <c r="R80">
        <v>1.24</v>
      </c>
      <c r="S80">
        <v>1.25</v>
      </c>
      <c r="T80">
        <v>1.2</v>
      </c>
      <c r="U80">
        <v>1.22</v>
      </c>
      <c r="V80">
        <v>1.21</v>
      </c>
      <c r="W80">
        <v>1.05</v>
      </c>
      <c r="X80">
        <v>1</v>
      </c>
      <c r="Y80">
        <v>0.99</v>
      </c>
      <c r="Z80">
        <v>1.17</v>
      </c>
      <c r="AA80">
        <v>1.1599999999999999</v>
      </c>
      <c r="AB80">
        <v>1.1499999999999999</v>
      </c>
      <c r="AC80">
        <v>1.35</v>
      </c>
      <c r="AD80">
        <v>1.29</v>
      </c>
      <c r="AE80">
        <v>1.3</v>
      </c>
      <c r="AF80">
        <v>1.3</v>
      </c>
      <c r="AG80">
        <v>1.29</v>
      </c>
      <c r="AH80">
        <v>1.27</v>
      </c>
      <c r="AI80">
        <v>1.36</v>
      </c>
      <c r="AJ80">
        <v>1.3</v>
      </c>
      <c r="AK80">
        <v>1.29</v>
      </c>
      <c r="AL80">
        <v>1.28</v>
      </c>
      <c r="AM80">
        <v>1.25</v>
      </c>
      <c r="AN80">
        <v>1.26</v>
      </c>
      <c r="AO80">
        <v>1.36</v>
      </c>
      <c r="AP80">
        <v>1.35</v>
      </c>
      <c r="AQ80">
        <v>1.3</v>
      </c>
      <c r="AR80">
        <v>1.18</v>
      </c>
      <c r="AS80">
        <v>1.1599999999999999</v>
      </c>
      <c r="AT80">
        <v>1.18</v>
      </c>
      <c r="AU80">
        <v>1.37</v>
      </c>
      <c r="AV80">
        <v>1.3</v>
      </c>
      <c r="AW80">
        <v>1.26</v>
      </c>
      <c r="BY80">
        <v>1.51</v>
      </c>
      <c r="BZ80">
        <v>1.45</v>
      </c>
      <c r="CA80">
        <v>1.44</v>
      </c>
      <c r="CB80">
        <v>2.38</v>
      </c>
      <c r="CC80">
        <v>2.36</v>
      </c>
      <c r="CD80">
        <v>2.36</v>
      </c>
    </row>
    <row r="81" spans="1:82">
      <c r="A81">
        <v>10433939</v>
      </c>
      <c r="B81" s="95">
        <v>46185</v>
      </c>
      <c r="C81" s="96">
        <v>0.71144675925925926</v>
      </c>
      <c r="D81">
        <v>91.606999999999999</v>
      </c>
      <c r="E81">
        <v>1.97</v>
      </c>
      <c r="F81">
        <v>2.06</v>
      </c>
      <c r="G81">
        <v>1.99</v>
      </c>
      <c r="H81">
        <v>1.99</v>
      </c>
      <c r="I81">
        <v>1.93</v>
      </c>
      <c r="J81">
        <v>1.92</v>
      </c>
      <c r="K81">
        <v>1.39</v>
      </c>
      <c r="L81">
        <v>1.42</v>
      </c>
      <c r="M81">
        <v>1.4</v>
      </c>
      <c r="N81">
        <v>1.18</v>
      </c>
      <c r="O81">
        <v>1.17</v>
      </c>
      <c r="P81">
        <v>1.18</v>
      </c>
      <c r="Q81">
        <v>1.2</v>
      </c>
      <c r="R81">
        <v>1.21</v>
      </c>
      <c r="S81">
        <v>1.23</v>
      </c>
      <c r="T81">
        <v>1.22</v>
      </c>
      <c r="U81">
        <v>1.2</v>
      </c>
      <c r="V81">
        <v>1.22</v>
      </c>
      <c r="W81">
        <v>1</v>
      </c>
      <c r="X81">
        <v>1.02</v>
      </c>
      <c r="Y81">
        <v>0.99</v>
      </c>
      <c r="Z81">
        <v>1.1499999999999999</v>
      </c>
      <c r="AA81">
        <v>1.1200000000000001</v>
      </c>
      <c r="AB81">
        <v>1.1100000000000001</v>
      </c>
      <c r="AC81">
        <v>1.34</v>
      </c>
      <c r="AD81">
        <v>1.36</v>
      </c>
      <c r="AE81">
        <v>1.33</v>
      </c>
      <c r="AF81">
        <v>1.27</v>
      </c>
      <c r="AG81">
        <v>1.26</v>
      </c>
      <c r="AH81">
        <v>1.26</v>
      </c>
      <c r="AI81">
        <v>1.28</v>
      </c>
      <c r="AJ81">
        <v>1.31</v>
      </c>
      <c r="AK81">
        <v>1.27</v>
      </c>
      <c r="AL81">
        <v>1.27</v>
      </c>
      <c r="AM81">
        <v>1.26</v>
      </c>
      <c r="AN81">
        <v>1.25</v>
      </c>
      <c r="AO81">
        <v>1.38</v>
      </c>
      <c r="AP81">
        <v>1.41</v>
      </c>
      <c r="AQ81">
        <v>1.39</v>
      </c>
      <c r="AR81">
        <v>1.1599999999999999</v>
      </c>
      <c r="AS81">
        <v>1.1599999999999999</v>
      </c>
      <c r="AT81">
        <v>1.21</v>
      </c>
      <c r="AU81">
        <v>1.37</v>
      </c>
      <c r="AV81">
        <v>1.36</v>
      </c>
      <c r="AW81">
        <v>1.3</v>
      </c>
      <c r="BY81">
        <v>1.45</v>
      </c>
      <c r="BZ81">
        <v>1.41</v>
      </c>
      <c r="CA81">
        <v>1.4</v>
      </c>
      <c r="CB81">
        <v>2.38</v>
      </c>
      <c r="CC81">
        <v>2.39</v>
      </c>
      <c r="CD81">
        <v>2.39</v>
      </c>
    </row>
    <row r="82" spans="1:82">
      <c r="A82">
        <v>10433939</v>
      </c>
      <c r="B82" s="95">
        <v>46185</v>
      </c>
      <c r="C82" s="96">
        <v>0.71326388888888892</v>
      </c>
      <c r="D82">
        <v>91.588999999999999</v>
      </c>
      <c r="E82">
        <v>1.99</v>
      </c>
      <c r="F82">
        <v>2</v>
      </c>
      <c r="G82">
        <v>2.0499999999999998</v>
      </c>
      <c r="H82">
        <v>1.96</v>
      </c>
      <c r="I82">
        <v>1.95</v>
      </c>
      <c r="J82">
        <v>1.94</v>
      </c>
      <c r="K82">
        <v>1.36</v>
      </c>
      <c r="L82">
        <v>1.39</v>
      </c>
      <c r="M82">
        <v>1.38</v>
      </c>
      <c r="N82">
        <v>1.19</v>
      </c>
      <c r="O82">
        <v>1.1599999999999999</v>
      </c>
      <c r="P82">
        <v>1.19</v>
      </c>
      <c r="Q82">
        <v>1.19</v>
      </c>
      <c r="R82">
        <v>1.1599999999999999</v>
      </c>
      <c r="S82">
        <v>1.2</v>
      </c>
      <c r="T82">
        <v>1.2</v>
      </c>
      <c r="U82">
        <v>1.19</v>
      </c>
      <c r="V82">
        <v>1.23</v>
      </c>
      <c r="W82">
        <v>1.05</v>
      </c>
      <c r="X82">
        <v>1</v>
      </c>
      <c r="Y82">
        <v>1.01</v>
      </c>
      <c r="Z82">
        <v>1.17</v>
      </c>
      <c r="AA82">
        <v>1.1599999999999999</v>
      </c>
      <c r="AB82">
        <v>1.1499999999999999</v>
      </c>
      <c r="AC82">
        <v>1.31</v>
      </c>
      <c r="AD82">
        <v>1.35</v>
      </c>
      <c r="AE82">
        <v>1.32</v>
      </c>
      <c r="AF82">
        <v>1.29</v>
      </c>
      <c r="AG82">
        <v>1.28</v>
      </c>
      <c r="AH82">
        <v>1.3</v>
      </c>
      <c r="AI82">
        <v>1.26</v>
      </c>
      <c r="AJ82">
        <v>1.29</v>
      </c>
      <c r="AK82">
        <v>1.26</v>
      </c>
      <c r="AL82">
        <v>1.25</v>
      </c>
      <c r="AM82">
        <v>1.24</v>
      </c>
      <c r="AN82">
        <v>1.23</v>
      </c>
      <c r="AO82">
        <v>1.39</v>
      </c>
      <c r="AP82">
        <v>1.36</v>
      </c>
      <c r="AQ82">
        <v>1.37</v>
      </c>
      <c r="AR82">
        <v>1.19</v>
      </c>
      <c r="AS82">
        <v>1.2</v>
      </c>
      <c r="AT82">
        <v>1.19</v>
      </c>
      <c r="AU82">
        <v>1.35</v>
      </c>
      <c r="AV82">
        <v>1.34</v>
      </c>
      <c r="AW82">
        <v>1.31</v>
      </c>
      <c r="BY82">
        <v>1.46</v>
      </c>
      <c r="BZ82">
        <v>1.43</v>
      </c>
      <c r="CA82">
        <v>1.46</v>
      </c>
      <c r="CB82">
        <v>2.39</v>
      </c>
      <c r="CC82">
        <v>2.4</v>
      </c>
      <c r="CD82">
        <v>2.39</v>
      </c>
    </row>
    <row r="83" spans="1:82">
      <c r="A83">
        <v>10433939</v>
      </c>
      <c r="B83" s="95">
        <v>46185</v>
      </c>
      <c r="C83" s="96">
        <v>0.7146527777777778</v>
      </c>
      <c r="D83">
        <v>91.59</v>
      </c>
      <c r="E83">
        <v>1.99</v>
      </c>
      <c r="F83">
        <v>2.1</v>
      </c>
      <c r="G83">
        <v>2</v>
      </c>
      <c r="H83">
        <v>1.99</v>
      </c>
      <c r="I83">
        <v>1.95</v>
      </c>
      <c r="J83">
        <v>1.94</v>
      </c>
      <c r="K83">
        <v>1.44</v>
      </c>
      <c r="L83">
        <v>1.42</v>
      </c>
      <c r="M83">
        <v>1.41</v>
      </c>
      <c r="N83">
        <v>1.17</v>
      </c>
      <c r="O83">
        <v>1.18</v>
      </c>
      <c r="P83">
        <v>1.1499999999999999</v>
      </c>
      <c r="Q83">
        <v>1.21</v>
      </c>
      <c r="R83">
        <v>1.21</v>
      </c>
      <c r="S83">
        <v>1.22</v>
      </c>
      <c r="T83">
        <v>1.2</v>
      </c>
      <c r="U83">
        <v>1.17</v>
      </c>
      <c r="V83">
        <v>1.18</v>
      </c>
      <c r="W83">
        <v>0.99</v>
      </c>
      <c r="X83">
        <v>0.97</v>
      </c>
      <c r="Y83">
        <v>1</v>
      </c>
      <c r="Z83">
        <v>1.1100000000000001</v>
      </c>
      <c r="AA83">
        <v>1.0900000000000001</v>
      </c>
      <c r="AB83">
        <v>1.1000000000000001</v>
      </c>
      <c r="AC83">
        <v>1.32</v>
      </c>
      <c r="AD83">
        <v>1.29</v>
      </c>
      <c r="AE83">
        <v>1.33</v>
      </c>
      <c r="AF83">
        <v>1.26</v>
      </c>
      <c r="AG83">
        <v>1.22</v>
      </c>
      <c r="AH83">
        <v>1.25</v>
      </c>
      <c r="AI83">
        <v>1.31</v>
      </c>
      <c r="AJ83">
        <v>1.24</v>
      </c>
      <c r="AK83">
        <v>1.22</v>
      </c>
      <c r="AL83">
        <v>1.24</v>
      </c>
      <c r="AM83">
        <v>1.22</v>
      </c>
      <c r="AN83">
        <v>1.21</v>
      </c>
      <c r="AO83">
        <v>1.39</v>
      </c>
      <c r="AP83">
        <v>1.31</v>
      </c>
      <c r="AQ83">
        <v>1.35</v>
      </c>
      <c r="AR83">
        <v>1.1399999999999999</v>
      </c>
      <c r="AS83">
        <v>1.1399999999999999</v>
      </c>
      <c r="AT83">
        <v>1.17</v>
      </c>
      <c r="AU83">
        <v>1.37</v>
      </c>
      <c r="AV83">
        <v>1.29</v>
      </c>
      <c r="AW83">
        <v>1.3</v>
      </c>
      <c r="BY83">
        <v>1.46</v>
      </c>
      <c r="BZ83">
        <v>1.37</v>
      </c>
      <c r="CA83">
        <v>1.46</v>
      </c>
      <c r="CB83">
        <v>2.35</v>
      </c>
      <c r="CC83">
        <v>2.36</v>
      </c>
      <c r="CD83">
        <v>2.39</v>
      </c>
    </row>
    <row r="84" spans="1:82">
      <c r="A84">
        <v>10433939</v>
      </c>
      <c r="B84" s="95">
        <v>46185</v>
      </c>
      <c r="C84" s="96">
        <v>0.71621527777777783</v>
      </c>
      <c r="D84">
        <v>91.575999999999993</v>
      </c>
      <c r="E84">
        <v>1.96</v>
      </c>
      <c r="F84">
        <v>1.99</v>
      </c>
      <c r="G84">
        <v>2.0299999999999998</v>
      </c>
      <c r="H84">
        <v>1.99</v>
      </c>
      <c r="I84">
        <v>1.93</v>
      </c>
      <c r="J84">
        <v>1.91</v>
      </c>
      <c r="K84">
        <v>1.46</v>
      </c>
      <c r="L84">
        <v>1.4</v>
      </c>
      <c r="M84">
        <v>1.39</v>
      </c>
      <c r="N84">
        <v>1.19</v>
      </c>
      <c r="O84">
        <v>1.1599999999999999</v>
      </c>
      <c r="P84">
        <v>1.17</v>
      </c>
      <c r="Q84">
        <v>1.26</v>
      </c>
      <c r="R84">
        <v>1.24</v>
      </c>
      <c r="S84">
        <v>1.2</v>
      </c>
      <c r="T84">
        <v>1.18</v>
      </c>
      <c r="U84">
        <v>1.1599999999999999</v>
      </c>
      <c r="V84">
        <v>1.19</v>
      </c>
      <c r="W84">
        <v>1</v>
      </c>
      <c r="X84">
        <v>1.03</v>
      </c>
      <c r="Y84">
        <v>1.03</v>
      </c>
      <c r="Z84">
        <v>1.1599999999999999</v>
      </c>
      <c r="AA84">
        <v>1.1000000000000001</v>
      </c>
      <c r="AB84">
        <v>1.1200000000000001</v>
      </c>
      <c r="AC84">
        <v>1.36</v>
      </c>
      <c r="AD84">
        <v>1.31</v>
      </c>
      <c r="AE84">
        <v>1.34</v>
      </c>
      <c r="AF84">
        <v>1.29</v>
      </c>
      <c r="AG84">
        <v>1.26</v>
      </c>
      <c r="AH84">
        <v>1.28</v>
      </c>
      <c r="AI84">
        <v>1.34</v>
      </c>
      <c r="AJ84">
        <v>1.29</v>
      </c>
      <c r="AK84">
        <v>1.26</v>
      </c>
      <c r="AL84">
        <v>1.26</v>
      </c>
      <c r="AM84">
        <v>1.24</v>
      </c>
      <c r="AN84">
        <v>1.24</v>
      </c>
      <c r="AO84">
        <v>1.39</v>
      </c>
      <c r="AP84">
        <v>1.36</v>
      </c>
      <c r="AQ84">
        <v>1.37</v>
      </c>
      <c r="AR84">
        <v>1.18</v>
      </c>
      <c r="AS84">
        <v>1.1599999999999999</v>
      </c>
      <c r="AT84">
        <v>1.19</v>
      </c>
      <c r="AU84">
        <v>1.35</v>
      </c>
      <c r="AV84">
        <v>1.3</v>
      </c>
      <c r="AW84">
        <v>1.29</v>
      </c>
      <c r="BY84">
        <v>1.47</v>
      </c>
      <c r="BZ84">
        <v>1.39</v>
      </c>
      <c r="CA84">
        <v>1.44</v>
      </c>
      <c r="CB84">
        <v>2.37</v>
      </c>
      <c r="CC84">
        <v>2.38</v>
      </c>
      <c r="CD84">
        <v>2.38</v>
      </c>
    </row>
    <row r="85" spans="1:82">
      <c r="A85">
        <v>10433939</v>
      </c>
      <c r="B85" s="95">
        <v>46185</v>
      </c>
      <c r="C85" s="96">
        <v>0.93068287037037034</v>
      </c>
      <c r="D85">
        <v>91.686999999999998</v>
      </c>
      <c r="E85">
        <v>1.89</v>
      </c>
      <c r="F85">
        <v>1.9</v>
      </c>
      <c r="G85">
        <v>1.87</v>
      </c>
      <c r="H85">
        <v>1.93</v>
      </c>
      <c r="I85">
        <v>1.9</v>
      </c>
      <c r="J85">
        <v>1.93</v>
      </c>
      <c r="K85">
        <v>1.4</v>
      </c>
      <c r="L85">
        <v>1.4</v>
      </c>
      <c r="M85">
        <v>1.41</v>
      </c>
      <c r="N85">
        <v>1.18</v>
      </c>
      <c r="O85">
        <v>1.19</v>
      </c>
      <c r="P85">
        <v>1.18</v>
      </c>
      <c r="Q85">
        <v>1.22</v>
      </c>
      <c r="R85">
        <v>1.22</v>
      </c>
      <c r="S85">
        <v>1.23</v>
      </c>
      <c r="T85">
        <v>1.2</v>
      </c>
      <c r="U85">
        <v>1.21</v>
      </c>
      <c r="V85">
        <v>1.22</v>
      </c>
      <c r="W85">
        <v>0.98</v>
      </c>
      <c r="X85">
        <v>1</v>
      </c>
      <c r="Y85">
        <v>1.01</v>
      </c>
      <c r="Z85">
        <v>1.17</v>
      </c>
      <c r="AA85">
        <v>1.1399999999999999</v>
      </c>
      <c r="AB85">
        <v>1.1200000000000001</v>
      </c>
      <c r="AC85">
        <v>1.32</v>
      </c>
      <c r="AD85">
        <v>1.36</v>
      </c>
      <c r="AE85">
        <v>1.34</v>
      </c>
      <c r="AF85">
        <v>1.26</v>
      </c>
      <c r="AG85">
        <v>1.27</v>
      </c>
      <c r="AH85">
        <v>1.26</v>
      </c>
      <c r="AI85">
        <v>1.23</v>
      </c>
      <c r="AJ85">
        <v>1.35</v>
      </c>
      <c r="AK85">
        <v>1.32</v>
      </c>
      <c r="AL85">
        <v>1.26</v>
      </c>
      <c r="AM85">
        <v>1.27</v>
      </c>
      <c r="AN85">
        <v>1.24</v>
      </c>
      <c r="AO85">
        <v>1.32</v>
      </c>
      <c r="AP85">
        <v>1.37</v>
      </c>
      <c r="AQ85">
        <v>1.33</v>
      </c>
      <c r="AR85">
        <v>1.1499999999999999</v>
      </c>
      <c r="AS85">
        <v>1.17</v>
      </c>
      <c r="AT85">
        <v>1.2</v>
      </c>
      <c r="AU85">
        <v>1.36</v>
      </c>
      <c r="AV85">
        <v>1.31</v>
      </c>
      <c r="AW85">
        <v>1.27</v>
      </c>
      <c r="BY85">
        <v>1.51</v>
      </c>
      <c r="BZ85">
        <v>1.43</v>
      </c>
      <c r="CA85">
        <v>1.45</v>
      </c>
      <c r="CB85">
        <v>2.38</v>
      </c>
      <c r="CC85">
        <v>2.36</v>
      </c>
      <c r="CD85">
        <v>2.37</v>
      </c>
    </row>
    <row r="86" spans="1:82">
      <c r="A86">
        <v>10433939</v>
      </c>
      <c r="B86" s="95">
        <v>46185</v>
      </c>
      <c r="C86" s="96">
        <v>0.93226851851851855</v>
      </c>
      <c r="D86">
        <v>91.787999999999997</v>
      </c>
      <c r="E86">
        <v>1.9</v>
      </c>
      <c r="F86">
        <v>1.95</v>
      </c>
      <c r="G86">
        <v>1.88</v>
      </c>
      <c r="H86">
        <v>1.93</v>
      </c>
      <c r="I86">
        <v>1.91</v>
      </c>
      <c r="J86">
        <v>1.93</v>
      </c>
      <c r="K86">
        <v>1.39</v>
      </c>
      <c r="L86">
        <v>1.39</v>
      </c>
      <c r="M86">
        <v>1.41</v>
      </c>
      <c r="N86">
        <v>1.2</v>
      </c>
      <c r="O86">
        <v>1.18</v>
      </c>
      <c r="P86">
        <v>1.2</v>
      </c>
      <c r="Q86">
        <v>1.23</v>
      </c>
      <c r="R86">
        <v>1.23</v>
      </c>
      <c r="S86">
        <v>1.24</v>
      </c>
      <c r="T86">
        <v>1.22</v>
      </c>
      <c r="U86">
        <v>1.21</v>
      </c>
      <c r="V86">
        <v>1.22</v>
      </c>
      <c r="W86">
        <v>0.99</v>
      </c>
      <c r="X86">
        <v>1</v>
      </c>
      <c r="Y86">
        <v>1</v>
      </c>
      <c r="Z86">
        <v>1.18</v>
      </c>
      <c r="AA86">
        <v>1.1599999999999999</v>
      </c>
      <c r="AB86">
        <v>1.1399999999999999</v>
      </c>
      <c r="AC86">
        <v>1.31</v>
      </c>
      <c r="AD86">
        <v>1.35</v>
      </c>
      <c r="AE86">
        <v>1.34</v>
      </c>
      <c r="AF86">
        <v>1.28</v>
      </c>
      <c r="AG86">
        <v>1.27</v>
      </c>
      <c r="AH86">
        <v>1.27</v>
      </c>
      <c r="AI86">
        <v>1.25</v>
      </c>
      <c r="AJ86">
        <v>1.34</v>
      </c>
      <c r="AK86">
        <v>1.33</v>
      </c>
      <c r="AL86">
        <v>1.24</v>
      </c>
      <c r="AM86">
        <v>1.26</v>
      </c>
      <c r="AN86">
        <v>1.25</v>
      </c>
      <c r="AO86">
        <v>1.34</v>
      </c>
      <c r="AP86">
        <v>1.36</v>
      </c>
      <c r="AQ86">
        <v>1.34</v>
      </c>
      <c r="AR86">
        <v>1.18</v>
      </c>
      <c r="AS86">
        <v>1.18</v>
      </c>
      <c r="AT86">
        <v>1.2</v>
      </c>
      <c r="AU86">
        <v>1.35</v>
      </c>
      <c r="AV86">
        <v>1.33</v>
      </c>
      <c r="AW86">
        <v>1.29</v>
      </c>
      <c r="BY86">
        <v>1.52</v>
      </c>
      <c r="BZ86">
        <v>1.33</v>
      </c>
      <c r="CA86">
        <v>1.46</v>
      </c>
      <c r="CB86">
        <v>2.38</v>
      </c>
      <c r="CC86">
        <v>2.36</v>
      </c>
      <c r="CD86">
        <v>2.37</v>
      </c>
    </row>
    <row r="87" spans="1:82">
      <c r="A87">
        <v>10433939</v>
      </c>
      <c r="B87" s="95">
        <v>46185</v>
      </c>
      <c r="C87" s="96">
        <v>0.93366898148148147</v>
      </c>
      <c r="D87">
        <v>92.034999999999997</v>
      </c>
      <c r="E87">
        <v>1.87</v>
      </c>
      <c r="F87">
        <v>1.9</v>
      </c>
      <c r="G87">
        <v>1.82</v>
      </c>
      <c r="H87">
        <v>1.95</v>
      </c>
      <c r="I87">
        <v>1.91</v>
      </c>
      <c r="J87">
        <v>1.92</v>
      </c>
      <c r="K87">
        <v>1.44</v>
      </c>
      <c r="L87">
        <v>1.44</v>
      </c>
      <c r="M87">
        <v>1.42</v>
      </c>
      <c r="N87">
        <v>1.21</v>
      </c>
      <c r="O87">
        <v>1.19</v>
      </c>
      <c r="P87">
        <v>1.18</v>
      </c>
      <c r="Q87">
        <v>1.23</v>
      </c>
      <c r="R87">
        <v>1.25</v>
      </c>
      <c r="S87">
        <v>1.24</v>
      </c>
      <c r="T87">
        <v>1.2</v>
      </c>
      <c r="U87">
        <v>1.22</v>
      </c>
      <c r="V87">
        <v>1.21</v>
      </c>
      <c r="W87">
        <v>1.01</v>
      </c>
      <c r="X87">
        <v>1.02</v>
      </c>
      <c r="Y87">
        <v>1.02</v>
      </c>
      <c r="Z87">
        <v>1.19</v>
      </c>
      <c r="AA87">
        <v>1.18</v>
      </c>
      <c r="AB87">
        <v>1.1399999999999999</v>
      </c>
      <c r="AC87">
        <v>1.29</v>
      </c>
      <c r="AD87">
        <v>1.3</v>
      </c>
      <c r="AE87">
        <v>1.37</v>
      </c>
      <c r="AF87">
        <v>1.28</v>
      </c>
      <c r="AG87">
        <v>1.27</v>
      </c>
      <c r="AH87">
        <v>1.28</v>
      </c>
      <c r="AI87">
        <v>1.35</v>
      </c>
      <c r="AJ87">
        <v>1.37</v>
      </c>
      <c r="AK87">
        <v>1.35</v>
      </c>
      <c r="AL87">
        <v>1.3</v>
      </c>
      <c r="AM87">
        <v>1.29</v>
      </c>
      <c r="AN87">
        <v>1.25</v>
      </c>
      <c r="AO87">
        <v>1.38</v>
      </c>
      <c r="AP87">
        <v>1.39</v>
      </c>
      <c r="AQ87">
        <v>1.38</v>
      </c>
      <c r="AR87">
        <v>1.2</v>
      </c>
      <c r="AS87">
        <v>1.1499999999999999</v>
      </c>
      <c r="AT87">
        <v>1.21</v>
      </c>
      <c r="AU87">
        <v>1.37</v>
      </c>
      <c r="AV87">
        <v>1.38</v>
      </c>
      <c r="AW87">
        <v>1.34</v>
      </c>
      <c r="BY87">
        <v>1.48</v>
      </c>
      <c r="BZ87">
        <v>1.46</v>
      </c>
      <c r="CA87">
        <v>1.46</v>
      </c>
      <c r="CB87">
        <v>2.34</v>
      </c>
      <c r="CC87">
        <v>2.33</v>
      </c>
      <c r="CD87">
        <v>2.37</v>
      </c>
    </row>
    <row r="88" spans="1:82">
      <c r="A88">
        <v>10433939</v>
      </c>
      <c r="B88" s="95">
        <v>46185</v>
      </c>
      <c r="C88" s="96">
        <v>0.93535879629629626</v>
      </c>
      <c r="D88">
        <v>92.123999999999995</v>
      </c>
      <c r="E88">
        <v>1.88</v>
      </c>
      <c r="F88">
        <v>1.92</v>
      </c>
      <c r="G88">
        <v>1.84</v>
      </c>
      <c r="H88">
        <v>1.95</v>
      </c>
      <c r="I88">
        <v>1.91</v>
      </c>
      <c r="J88">
        <v>1.94</v>
      </c>
      <c r="K88">
        <v>1.42</v>
      </c>
      <c r="L88">
        <v>1.42</v>
      </c>
      <c r="M88">
        <v>1.43</v>
      </c>
      <c r="N88">
        <v>1.22</v>
      </c>
      <c r="O88">
        <v>1.2</v>
      </c>
      <c r="P88">
        <v>1.18</v>
      </c>
      <c r="Q88">
        <v>1.25</v>
      </c>
      <c r="R88">
        <v>1.26</v>
      </c>
      <c r="S88">
        <v>1.25</v>
      </c>
      <c r="T88">
        <v>1.22</v>
      </c>
      <c r="U88">
        <v>1.23</v>
      </c>
      <c r="V88">
        <v>1.22</v>
      </c>
      <c r="W88">
        <v>1.02</v>
      </c>
      <c r="X88">
        <v>1.04</v>
      </c>
      <c r="Y88">
        <v>1.03</v>
      </c>
      <c r="Z88">
        <v>1.17</v>
      </c>
      <c r="AA88">
        <v>1.19</v>
      </c>
      <c r="AB88">
        <v>1.1399999999999999</v>
      </c>
      <c r="AC88">
        <v>1.31</v>
      </c>
      <c r="AD88">
        <v>1.3</v>
      </c>
      <c r="AE88">
        <v>1.38</v>
      </c>
      <c r="AF88">
        <v>1.27</v>
      </c>
      <c r="AG88">
        <v>1.29</v>
      </c>
      <c r="AH88">
        <v>1.27</v>
      </c>
      <c r="AI88">
        <v>1.34</v>
      </c>
      <c r="AJ88">
        <v>1.36</v>
      </c>
      <c r="AK88">
        <v>1.35</v>
      </c>
      <c r="AL88">
        <v>1.29</v>
      </c>
      <c r="AM88">
        <v>1.31</v>
      </c>
      <c r="AN88">
        <v>1.27</v>
      </c>
      <c r="AO88">
        <v>1.37</v>
      </c>
      <c r="AP88">
        <v>1.38</v>
      </c>
      <c r="AQ88">
        <v>1.39</v>
      </c>
      <c r="AR88">
        <v>1.22</v>
      </c>
      <c r="AS88">
        <v>1.18</v>
      </c>
      <c r="AT88">
        <v>1.2</v>
      </c>
      <c r="AU88">
        <v>1.38</v>
      </c>
      <c r="AV88">
        <v>1.37</v>
      </c>
      <c r="AW88">
        <v>1.36</v>
      </c>
      <c r="AX88">
        <v>1.49</v>
      </c>
      <c r="AY88">
        <v>1.47</v>
      </c>
      <c r="AZ88">
        <v>1.46</v>
      </c>
      <c r="BY88">
        <v>1.49</v>
      </c>
      <c r="BZ88">
        <v>1.47</v>
      </c>
      <c r="CA88">
        <v>1.46</v>
      </c>
      <c r="CB88">
        <v>2.34</v>
      </c>
      <c r="CC88">
        <v>2.34</v>
      </c>
      <c r="CD88">
        <v>2.37</v>
      </c>
    </row>
    <row r="89" spans="1:82">
      <c r="A89">
        <v>10433939</v>
      </c>
      <c r="B89" s="95">
        <v>46189</v>
      </c>
      <c r="C89" s="96">
        <v>0.86407407407407411</v>
      </c>
      <c r="D89">
        <v>92.096999999999994</v>
      </c>
      <c r="E89">
        <v>2.15</v>
      </c>
      <c r="F89">
        <v>2.1</v>
      </c>
      <c r="G89">
        <v>2.12</v>
      </c>
      <c r="H89">
        <v>1.92</v>
      </c>
      <c r="I89">
        <v>1.87</v>
      </c>
      <c r="J89">
        <v>1.94</v>
      </c>
      <c r="K89">
        <v>1.43</v>
      </c>
      <c r="L89">
        <v>1.45</v>
      </c>
      <c r="M89">
        <v>1.4</v>
      </c>
      <c r="N89">
        <v>1.1499999999999999</v>
      </c>
      <c r="O89">
        <v>1.1599999999999999</v>
      </c>
      <c r="P89">
        <v>1.1599999999999999</v>
      </c>
      <c r="Q89">
        <v>1.22</v>
      </c>
      <c r="R89">
        <v>1.22</v>
      </c>
      <c r="S89">
        <v>1.23</v>
      </c>
      <c r="T89">
        <v>1.17</v>
      </c>
      <c r="U89">
        <v>1.18</v>
      </c>
      <c r="V89">
        <v>1.2</v>
      </c>
      <c r="W89">
        <v>1.01</v>
      </c>
      <c r="X89">
        <v>1.04</v>
      </c>
      <c r="Y89">
        <v>0.99</v>
      </c>
      <c r="Z89">
        <v>1.1399999999999999</v>
      </c>
      <c r="AA89">
        <v>1.1000000000000001</v>
      </c>
      <c r="AB89">
        <v>1.1299999999999999</v>
      </c>
      <c r="AC89">
        <v>1.32</v>
      </c>
      <c r="AD89">
        <v>1.38</v>
      </c>
      <c r="AE89">
        <v>1.34</v>
      </c>
      <c r="AF89">
        <v>1.25</v>
      </c>
      <c r="AG89">
        <v>1.25</v>
      </c>
      <c r="AH89">
        <v>1.25</v>
      </c>
      <c r="AI89">
        <v>1.34</v>
      </c>
      <c r="AJ89">
        <v>1.29</v>
      </c>
      <c r="AK89">
        <v>1.26</v>
      </c>
      <c r="AL89">
        <v>1.26</v>
      </c>
      <c r="AM89">
        <v>1.25</v>
      </c>
      <c r="AN89">
        <v>1.22</v>
      </c>
      <c r="AO89">
        <v>1.38</v>
      </c>
      <c r="AP89">
        <v>1.39</v>
      </c>
      <c r="AQ89">
        <v>1.31</v>
      </c>
      <c r="AR89">
        <v>1.1200000000000001</v>
      </c>
      <c r="AS89">
        <v>1.1499999999999999</v>
      </c>
      <c r="AT89">
        <v>1.1399999999999999</v>
      </c>
      <c r="AU89">
        <v>1.38</v>
      </c>
      <c r="AV89">
        <v>1.39</v>
      </c>
      <c r="AW89">
        <v>1.32</v>
      </c>
      <c r="BY89">
        <v>1.48</v>
      </c>
      <c r="BZ89">
        <v>1.39</v>
      </c>
      <c r="CA89">
        <v>1.41</v>
      </c>
      <c r="CB89">
        <v>229</v>
      </c>
      <c r="CC89">
        <v>2.2799999999999998</v>
      </c>
      <c r="CD89">
        <v>2.31</v>
      </c>
    </row>
    <row r="90" spans="1:82">
      <c r="A90">
        <v>10433939</v>
      </c>
      <c r="B90" s="95">
        <v>46189</v>
      </c>
      <c r="C90" s="96">
        <v>0.86630787037037038</v>
      </c>
      <c r="D90">
        <v>92.106999999999999</v>
      </c>
      <c r="E90">
        <v>2.16</v>
      </c>
      <c r="F90">
        <v>2.15</v>
      </c>
      <c r="G90">
        <v>2.16</v>
      </c>
      <c r="H90">
        <v>1.9</v>
      </c>
      <c r="I90">
        <v>1.89</v>
      </c>
      <c r="J90">
        <v>1.93</v>
      </c>
      <c r="K90">
        <v>1.41</v>
      </c>
      <c r="L90">
        <v>1.46</v>
      </c>
      <c r="M90">
        <v>1.39</v>
      </c>
      <c r="N90">
        <v>1.1599999999999999</v>
      </c>
      <c r="O90">
        <v>1.1499999999999999</v>
      </c>
      <c r="P90">
        <v>1.19</v>
      </c>
      <c r="Q90">
        <v>1.26</v>
      </c>
      <c r="R90">
        <v>1.27</v>
      </c>
      <c r="S90">
        <v>1.26</v>
      </c>
      <c r="T90">
        <v>1.17</v>
      </c>
      <c r="U90">
        <v>1.1599999999999999</v>
      </c>
      <c r="V90">
        <v>1.18</v>
      </c>
      <c r="W90">
        <v>1.03</v>
      </c>
      <c r="X90">
        <v>1.07</v>
      </c>
      <c r="Y90">
        <v>1</v>
      </c>
      <c r="Z90">
        <v>1.1599999999999999</v>
      </c>
      <c r="AA90">
        <v>1.1499999999999999</v>
      </c>
      <c r="AB90">
        <v>1.1499999999999999</v>
      </c>
      <c r="AC90">
        <v>1.32</v>
      </c>
      <c r="AD90">
        <v>1.36</v>
      </c>
      <c r="AE90">
        <v>1.31</v>
      </c>
      <c r="AF90">
        <v>1.2</v>
      </c>
      <c r="AG90">
        <v>1.22</v>
      </c>
      <c r="AH90">
        <v>1.21</v>
      </c>
      <c r="AI90">
        <v>1.3</v>
      </c>
      <c r="AJ90">
        <v>1.31</v>
      </c>
      <c r="AK90">
        <v>1.29</v>
      </c>
      <c r="AL90">
        <v>1.26</v>
      </c>
      <c r="AM90">
        <v>1.24</v>
      </c>
      <c r="AN90">
        <v>1.23</v>
      </c>
      <c r="AO90">
        <v>1.37</v>
      </c>
      <c r="AP90">
        <v>1.36</v>
      </c>
      <c r="AQ90">
        <v>1.35</v>
      </c>
      <c r="AR90">
        <v>1.1599999999999999</v>
      </c>
      <c r="AS90">
        <v>1.17</v>
      </c>
      <c r="AT90">
        <v>1.1499999999999999</v>
      </c>
      <c r="AU90">
        <v>1.36</v>
      </c>
      <c r="AV90">
        <v>1.35</v>
      </c>
      <c r="AW90">
        <v>1.31</v>
      </c>
      <c r="AX90">
        <v>1.46</v>
      </c>
      <c r="AY90">
        <v>1.41</v>
      </c>
      <c r="AZ90">
        <v>1.43</v>
      </c>
      <c r="BY90">
        <v>1.46</v>
      </c>
      <c r="BZ90">
        <v>1.41</v>
      </c>
      <c r="CA90">
        <v>1.43</v>
      </c>
      <c r="CB90">
        <v>2.31</v>
      </c>
      <c r="CC90">
        <v>2.2999999999999998</v>
      </c>
      <c r="CD90">
        <v>2.3199999999999998</v>
      </c>
    </row>
    <row r="91" spans="1:82">
      <c r="A91">
        <v>10433939</v>
      </c>
      <c r="B91" s="95">
        <v>46189</v>
      </c>
      <c r="C91" s="96">
        <v>0.86809027777777781</v>
      </c>
      <c r="D91">
        <v>92.135000000000005</v>
      </c>
      <c r="E91">
        <v>1.99</v>
      </c>
      <c r="F91">
        <v>2.06</v>
      </c>
      <c r="G91">
        <v>2.0499999999999998</v>
      </c>
      <c r="H91">
        <v>1.97</v>
      </c>
      <c r="I91">
        <v>1.91</v>
      </c>
      <c r="J91">
        <v>1.95</v>
      </c>
      <c r="K91">
        <v>1.46</v>
      </c>
      <c r="L91">
        <v>1.47</v>
      </c>
      <c r="M91">
        <v>1.44</v>
      </c>
      <c r="N91">
        <v>1.17</v>
      </c>
      <c r="O91">
        <v>1.1499999999999999</v>
      </c>
      <c r="P91">
        <v>1.1599999999999999</v>
      </c>
      <c r="Q91">
        <v>1.21</v>
      </c>
      <c r="R91">
        <v>1.22</v>
      </c>
      <c r="S91">
        <v>1.25</v>
      </c>
      <c r="T91">
        <v>1.19</v>
      </c>
      <c r="U91">
        <v>1.1499999999999999</v>
      </c>
      <c r="V91">
        <v>1.1599999999999999</v>
      </c>
      <c r="W91">
        <v>1.03</v>
      </c>
      <c r="X91">
        <v>0.99</v>
      </c>
      <c r="Y91">
        <v>1</v>
      </c>
      <c r="Z91">
        <v>1.1100000000000001</v>
      </c>
      <c r="AA91">
        <v>1.1200000000000001</v>
      </c>
      <c r="AB91">
        <v>1.1200000000000001</v>
      </c>
      <c r="AC91">
        <v>1.29</v>
      </c>
      <c r="AD91">
        <v>1.29</v>
      </c>
      <c r="AE91">
        <v>1.35</v>
      </c>
      <c r="AF91">
        <v>1.26</v>
      </c>
      <c r="AG91">
        <v>1.24</v>
      </c>
      <c r="AH91">
        <v>1.26</v>
      </c>
      <c r="AI91">
        <v>1.25</v>
      </c>
      <c r="AJ91">
        <v>1.23</v>
      </c>
      <c r="AK91">
        <v>1.23</v>
      </c>
      <c r="AL91">
        <v>1.26</v>
      </c>
      <c r="AM91">
        <v>1.3</v>
      </c>
      <c r="AN91">
        <v>1.25</v>
      </c>
      <c r="AO91">
        <v>1.29</v>
      </c>
      <c r="AP91">
        <v>1.34</v>
      </c>
      <c r="AQ91">
        <v>1.32</v>
      </c>
      <c r="AR91">
        <v>1.17</v>
      </c>
      <c r="AS91">
        <v>1.18</v>
      </c>
      <c r="AT91">
        <v>1.2</v>
      </c>
      <c r="AU91">
        <v>1.39</v>
      </c>
      <c r="AV91">
        <v>1.37</v>
      </c>
      <c r="AW91">
        <v>1.36</v>
      </c>
      <c r="BY91">
        <v>1.44</v>
      </c>
      <c r="BZ91">
        <v>1.43</v>
      </c>
      <c r="CA91">
        <v>1.41</v>
      </c>
      <c r="CB91">
        <v>2.29</v>
      </c>
      <c r="CC91">
        <v>2.3199999999999998</v>
      </c>
      <c r="CD91">
        <v>2.3199999999999998</v>
      </c>
    </row>
    <row r="92" spans="1:82">
      <c r="A92">
        <v>10433939</v>
      </c>
      <c r="B92" s="95">
        <v>46189</v>
      </c>
      <c r="C92" s="96">
        <v>0.87246527777777783</v>
      </c>
      <c r="D92">
        <v>92.197999999999993</v>
      </c>
      <c r="E92">
        <v>2.06</v>
      </c>
      <c r="F92">
        <v>2.09</v>
      </c>
      <c r="G92">
        <v>2.0699999999999998</v>
      </c>
      <c r="H92">
        <v>1.96</v>
      </c>
      <c r="I92">
        <v>1.94</v>
      </c>
      <c r="J92">
        <v>1.93</v>
      </c>
      <c r="K92">
        <v>1.45</v>
      </c>
      <c r="L92">
        <v>1.46</v>
      </c>
      <c r="M92">
        <v>1.47</v>
      </c>
      <c r="N92">
        <v>1.19</v>
      </c>
      <c r="O92">
        <v>1.17</v>
      </c>
      <c r="P92">
        <v>1.18</v>
      </c>
      <c r="Q92">
        <v>1.26</v>
      </c>
      <c r="R92">
        <v>1.25</v>
      </c>
      <c r="S92">
        <v>1.27</v>
      </c>
      <c r="T92">
        <v>1.2</v>
      </c>
      <c r="U92">
        <v>1.18</v>
      </c>
      <c r="V92">
        <v>1.19</v>
      </c>
      <c r="W92">
        <v>1.07</v>
      </c>
      <c r="X92">
        <v>1.03</v>
      </c>
      <c r="Y92">
        <v>1.04</v>
      </c>
      <c r="Z92">
        <v>1.1599999999999999</v>
      </c>
      <c r="AA92">
        <v>1.1000000000000001</v>
      </c>
      <c r="AB92">
        <v>1.1399999999999999</v>
      </c>
      <c r="AC92">
        <v>1.31</v>
      </c>
      <c r="AD92">
        <v>1.32</v>
      </c>
      <c r="AE92">
        <v>1.36</v>
      </c>
      <c r="AF92">
        <v>1.29</v>
      </c>
      <c r="AG92">
        <v>1.26</v>
      </c>
      <c r="AH92">
        <v>1.24</v>
      </c>
      <c r="AI92">
        <v>1.29</v>
      </c>
      <c r="AJ92">
        <v>1.26</v>
      </c>
      <c r="AK92">
        <v>1.27</v>
      </c>
      <c r="AL92">
        <v>1.28</v>
      </c>
      <c r="AM92">
        <v>1.29</v>
      </c>
      <c r="AN92">
        <v>1.26</v>
      </c>
      <c r="AO92">
        <v>1.32</v>
      </c>
      <c r="AP92">
        <v>1.36</v>
      </c>
      <c r="AQ92">
        <v>1.34</v>
      </c>
      <c r="AR92">
        <v>1.19</v>
      </c>
      <c r="AS92">
        <v>1.2</v>
      </c>
      <c r="AT92">
        <v>1.19</v>
      </c>
      <c r="AU92">
        <v>1.36</v>
      </c>
      <c r="AV92">
        <v>1.39</v>
      </c>
      <c r="AW92">
        <v>1.37</v>
      </c>
      <c r="BY92">
        <v>1.46</v>
      </c>
      <c r="BZ92">
        <v>1.45</v>
      </c>
      <c r="CA92">
        <v>1.45</v>
      </c>
      <c r="CB92">
        <v>2.31</v>
      </c>
      <c r="CC92">
        <v>2.2999999999999998</v>
      </c>
      <c r="CD92">
        <v>2.34</v>
      </c>
    </row>
    <row r="93" spans="1:82">
      <c r="A93">
        <v>10433939</v>
      </c>
      <c r="B93" s="95">
        <v>46189</v>
      </c>
      <c r="C93" s="96">
        <v>0.94158564814814816</v>
      </c>
      <c r="D93">
        <v>93.177000000000007</v>
      </c>
      <c r="E93">
        <v>1.98</v>
      </c>
      <c r="F93">
        <v>1.94</v>
      </c>
      <c r="G93">
        <v>1.99</v>
      </c>
      <c r="H93">
        <v>1.94</v>
      </c>
      <c r="I93">
        <v>1.93</v>
      </c>
      <c r="J93">
        <v>1.94</v>
      </c>
      <c r="K93">
        <v>1.4</v>
      </c>
      <c r="L93">
        <v>1.45</v>
      </c>
      <c r="M93">
        <v>1.46</v>
      </c>
      <c r="N93">
        <v>1.17</v>
      </c>
      <c r="O93">
        <v>1.19</v>
      </c>
      <c r="P93">
        <v>1.1599999999999999</v>
      </c>
      <c r="Q93">
        <v>1.19</v>
      </c>
      <c r="R93">
        <v>1.21</v>
      </c>
      <c r="S93">
        <v>1.25</v>
      </c>
      <c r="T93">
        <v>1.18</v>
      </c>
      <c r="U93">
        <v>1.1599999999999999</v>
      </c>
      <c r="V93">
        <v>1.17</v>
      </c>
      <c r="W93">
        <v>0.96</v>
      </c>
      <c r="X93">
        <v>1.02</v>
      </c>
      <c r="Y93">
        <v>1.01</v>
      </c>
      <c r="Z93">
        <v>1.1100000000000001</v>
      </c>
      <c r="AA93">
        <v>1.1000000000000001</v>
      </c>
      <c r="AB93">
        <v>1.0900000000000001</v>
      </c>
      <c r="AC93">
        <v>1.36</v>
      </c>
      <c r="AD93">
        <v>1.39</v>
      </c>
      <c r="AE93">
        <v>1.32</v>
      </c>
      <c r="AF93">
        <v>1.23</v>
      </c>
      <c r="AG93">
        <v>1.26</v>
      </c>
      <c r="AH93">
        <v>1.25</v>
      </c>
      <c r="AI93">
        <v>1.3</v>
      </c>
      <c r="AJ93">
        <v>1.36</v>
      </c>
      <c r="AK93">
        <v>1.3</v>
      </c>
      <c r="AL93">
        <v>1.19</v>
      </c>
      <c r="AM93">
        <v>1.2</v>
      </c>
      <c r="AN93">
        <v>1.19</v>
      </c>
      <c r="AO93">
        <v>1.35</v>
      </c>
      <c r="AP93">
        <v>1.38</v>
      </c>
      <c r="AQ93">
        <v>1.4</v>
      </c>
      <c r="AR93">
        <v>1.19</v>
      </c>
      <c r="AS93">
        <v>1.1599999999999999</v>
      </c>
      <c r="AT93">
        <v>1.18</v>
      </c>
      <c r="AU93">
        <v>1.25</v>
      </c>
      <c r="AV93">
        <v>1.28</v>
      </c>
      <c r="AW93">
        <v>1.26</v>
      </c>
      <c r="BY93">
        <v>1.46</v>
      </c>
      <c r="BZ93">
        <v>1.5</v>
      </c>
      <c r="CA93">
        <v>1.47</v>
      </c>
      <c r="CB93">
        <v>2.2999999999999998</v>
      </c>
      <c r="CC93">
        <v>2.33</v>
      </c>
      <c r="CD93">
        <v>2.34</v>
      </c>
    </row>
    <row r="94" spans="1:82">
      <c r="A94">
        <v>10433939</v>
      </c>
      <c r="B94" s="95">
        <v>46189</v>
      </c>
      <c r="C94" s="96">
        <v>0.94362268518518522</v>
      </c>
      <c r="D94">
        <v>93.302000000000007</v>
      </c>
      <c r="E94">
        <v>1.99</v>
      </c>
      <c r="F94">
        <v>1.95</v>
      </c>
      <c r="G94">
        <v>1.98</v>
      </c>
      <c r="H94">
        <v>1.94</v>
      </c>
      <c r="I94">
        <v>1.92</v>
      </c>
      <c r="J94">
        <v>1.94</v>
      </c>
      <c r="K94">
        <v>1.42</v>
      </c>
      <c r="L94">
        <v>1.44</v>
      </c>
      <c r="M94">
        <v>1.46</v>
      </c>
      <c r="N94">
        <v>1.1599999999999999</v>
      </c>
      <c r="O94">
        <v>1.18</v>
      </c>
      <c r="P94">
        <v>1.1599999999999999</v>
      </c>
      <c r="Q94">
        <v>1.2</v>
      </c>
      <c r="R94">
        <v>1.22</v>
      </c>
      <c r="S94">
        <v>1.27</v>
      </c>
      <c r="T94">
        <v>1.19</v>
      </c>
      <c r="U94">
        <v>1.1599999999999999</v>
      </c>
      <c r="V94">
        <v>1.18</v>
      </c>
      <c r="W94">
        <v>0.98</v>
      </c>
      <c r="X94">
        <v>1.04</v>
      </c>
      <c r="Y94">
        <v>1.02</v>
      </c>
      <c r="Z94">
        <v>1.1299999999999999</v>
      </c>
      <c r="AA94">
        <v>1.1100000000000001</v>
      </c>
      <c r="AB94">
        <v>1.1000000000000001</v>
      </c>
      <c r="AC94">
        <v>1.35</v>
      </c>
      <c r="AD94">
        <v>1.38</v>
      </c>
      <c r="AE94">
        <v>1.33</v>
      </c>
      <c r="AF94">
        <v>1.25</v>
      </c>
      <c r="AG94">
        <v>1.27</v>
      </c>
      <c r="AH94">
        <v>1.26</v>
      </c>
      <c r="AI94">
        <v>1.31</v>
      </c>
      <c r="AJ94">
        <v>1.37</v>
      </c>
      <c r="AK94">
        <v>1.31</v>
      </c>
      <c r="AL94">
        <v>1.19</v>
      </c>
      <c r="AM94">
        <v>1.2</v>
      </c>
      <c r="AN94">
        <v>1.21</v>
      </c>
      <c r="AO94">
        <v>1.36</v>
      </c>
      <c r="AP94">
        <v>1.36</v>
      </c>
      <c r="AQ94">
        <v>1.39</v>
      </c>
      <c r="AR94">
        <v>1.2</v>
      </c>
      <c r="AS94">
        <v>1.17</v>
      </c>
      <c r="AT94">
        <v>1.17</v>
      </c>
      <c r="AU94">
        <v>1.27</v>
      </c>
      <c r="AV94">
        <v>1.29</v>
      </c>
      <c r="AW94">
        <v>1.26</v>
      </c>
      <c r="BY94">
        <v>1.47</v>
      </c>
      <c r="BZ94">
        <v>1.49</v>
      </c>
      <c r="CA94">
        <v>1.46</v>
      </c>
      <c r="CB94">
        <v>2.33</v>
      </c>
      <c r="CC94">
        <v>2.3199999999999998</v>
      </c>
      <c r="CD94">
        <v>2.3199999999999998</v>
      </c>
    </row>
    <row r="95" spans="1:82">
      <c r="A95">
        <v>10433939</v>
      </c>
      <c r="B95" s="95">
        <v>46189</v>
      </c>
      <c r="C95" s="96">
        <v>0.9473611111111111</v>
      </c>
      <c r="D95">
        <v>93.364999999999995</v>
      </c>
      <c r="E95">
        <v>2.0099999999999998</v>
      </c>
      <c r="F95">
        <v>2.1</v>
      </c>
      <c r="G95">
        <v>1.99</v>
      </c>
      <c r="H95">
        <v>1.94</v>
      </c>
      <c r="I95">
        <v>1.91</v>
      </c>
      <c r="J95">
        <v>1.92</v>
      </c>
      <c r="K95">
        <v>1.42</v>
      </c>
      <c r="L95">
        <v>1.49</v>
      </c>
      <c r="M95">
        <v>1.49</v>
      </c>
      <c r="N95">
        <v>1.1499999999999999</v>
      </c>
      <c r="O95">
        <v>1.18</v>
      </c>
      <c r="P95">
        <v>1.1499999999999999</v>
      </c>
      <c r="Q95">
        <v>1.18</v>
      </c>
      <c r="R95">
        <v>1.21</v>
      </c>
      <c r="S95">
        <v>1.26</v>
      </c>
      <c r="T95">
        <v>1.19</v>
      </c>
      <c r="U95">
        <v>1.18</v>
      </c>
      <c r="V95">
        <v>1.1499999999999999</v>
      </c>
      <c r="W95">
        <v>1.03</v>
      </c>
      <c r="X95">
        <v>1.02</v>
      </c>
      <c r="Y95">
        <v>1.03</v>
      </c>
      <c r="Z95">
        <v>1.1100000000000001</v>
      </c>
      <c r="AA95">
        <v>1.0900000000000001</v>
      </c>
      <c r="AB95">
        <v>1.1200000000000001</v>
      </c>
      <c r="AC95">
        <v>1.35</v>
      </c>
      <c r="AD95">
        <v>1.32</v>
      </c>
      <c r="AE95">
        <v>1.34</v>
      </c>
      <c r="AF95">
        <v>1.22</v>
      </c>
      <c r="AG95">
        <v>1.25</v>
      </c>
      <c r="AH95">
        <v>1.26</v>
      </c>
      <c r="AI95">
        <v>1.31</v>
      </c>
      <c r="AJ95">
        <v>1.29</v>
      </c>
      <c r="AK95">
        <v>1.27</v>
      </c>
      <c r="AL95">
        <v>1.17</v>
      </c>
      <c r="AM95">
        <v>1.2</v>
      </c>
      <c r="AN95">
        <v>1.23</v>
      </c>
      <c r="AO95">
        <v>1.38</v>
      </c>
      <c r="AP95">
        <v>1.33</v>
      </c>
      <c r="AQ95">
        <v>1.37</v>
      </c>
      <c r="AR95">
        <v>1.19</v>
      </c>
      <c r="AS95">
        <v>1.18</v>
      </c>
      <c r="AT95">
        <v>1.22</v>
      </c>
      <c r="AU95">
        <v>1.29</v>
      </c>
      <c r="AV95">
        <v>1.3</v>
      </c>
      <c r="AW95">
        <v>1.29</v>
      </c>
      <c r="BY95">
        <v>1.47</v>
      </c>
      <c r="BZ95">
        <v>1.46</v>
      </c>
      <c r="CA95">
        <v>1.46</v>
      </c>
      <c r="CB95">
        <v>2.33</v>
      </c>
      <c r="CC95">
        <v>2.2999999999999998</v>
      </c>
      <c r="CD95">
        <v>2.35</v>
      </c>
    </row>
    <row r="96" spans="1:82">
      <c r="A96">
        <v>10433939</v>
      </c>
      <c r="B96" s="95">
        <v>46189</v>
      </c>
      <c r="C96" s="96">
        <v>0.95020833333333332</v>
      </c>
      <c r="D96">
        <v>93.364999999999995</v>
      </c>
      <c r="E96">
        <v>2.0299999999999998</v>
      </c>
      <c r="F96">
        <v>2.08</v>
      </c>
      <c r="G96">
        <v>1.99</v>
      </c>
      <c r="H96">
        <v>2.0299999999999998</v>
      </c>
      <c r="I96">
        <v>2.08</v>
      </c>
      <c r="J96">
        <v>1.99</v>
      </c>
      <c r="K96">
        <v>1.94</v>
      </c>
      <c r="L96">
        <v>1.92</v>
      </c>
      <c r="M96">
        <v>1.93</v>
      </c>
      <c r="N96">
        <v>1.43</v>
      </c>
      <c r="O96">
        <v>1.47</v>
      </c>
      <c r="P96">
        <v>1.46</v>
      </c>
      <c r="Q96">
        <v>1.1599999999999999</v>
      </c>
      <c r="R96">
        <v>1.1499999999999999</v>
      </c>
      <c r="S96">
        <v>1.17</v>
      </c>
      <c r="T96">
        <v>1.17</v>
      </c>
      <c r="U96">
        <v>1.2</v>
      </c>
      <c r="V96">
        <v>1.25</v>
      </c>
      <c r="W96">
        <v>1.2</v>
      </c>
      <c r="X96">
        <v>1.18</v>
      </c>
      <c r="Y96">
        <v>1.1599999999999999</v>
      </c>
      <c r="Z96">
        <v>1.02</v>
      </c>
      <c r="AA96">
        <v>1.01</v>
      </c>
      <c r="AB96">
        <v>1.03</v>
      </c>
      <c r="AC96">
        <v>1.1200000000000001</v>
      </c>
      <c r="AD96">
        <v>1.1000000000000001</v>
      </c>
      <c r="AE96">
        <v>1.1100000000000001</v>
      </c>
      <c r="AF96">
        <v>1.36</v>
      </c>
      <c r="AG96">
        <v>1.34</v>
      </c>
      <c r="AH96">
        <v>1.36</v>
      </c>
      <c r="AI96">
        <v>1.21</v>
      </c>
      <c r="AJ96">
        <v>1.24</v>
      </c>
      <c r="AK96">
        <v>1.26</v>
      </c>
      <c r="AL96">
        <v>1.32</v>
      </c>
      <c r="AM96">
        <v>1.29</v>
      </c>
      <c r="AN96">
        <v>1.27</v>
      </c>
      <c r="AO96">
        <v>1.1599999999999999</v>
      </c>
      <c r="AP96">
        <v>1.19</v>
      </c>
      <c r="AQ96">
        <v>1.21</v>
      </c>
      <c r="AR96">
        <v>1.37</v>
      </c>
      <c r="AS96">
        <v>1.35</v>
      </c>
      <c r="AT96">
        <v>1.36</v>
      </c>
      <c r="AU96">
        <v>1.1599999999999999</v>
      </c>
      <c r="AV96">
        <v>1.17</v>
      </c>
      <c r="AW96">
        <v>1.21</v>
      </c>
      <c r="AX96">
        <v>1.29</v>
      </c>
      <c r="AY96">
        <v>1.31</v>
      </c>
      <c r="AZ96">
        <v>1.3</v>
      </c>
      <c r="BY96">
        <v>1.47</v>
      </c>
      <c r="BZ96">
        <v>1.45</v>
      </c>
      <c r="CA96">
        <v>1.46</v>
      </c>
      <c r="CB96">
        <v>2.36</v>
      </c>
      <c r="CC96">
        <v>2.2999999999999998</v>
      </c>
      <c r="CD96">
        <v>2.36</v>
      </c>
    </row>
    <row r="97" spans="1:82">
      <c r="A97">
        <v>10433939</v>
      </c>
      <c r="B97" s="95">
        <v>46189</v>
      </c>
      <c r="C97" s="96">
        <v>0.95222222222222219</v>
      </c>
      <c r="D97">
        <v>93.010999999999996</v>
      </c>
      <c r="E97">
        <v>2.02</v>
      </c>
      <c r="F97">
        <v>2.06</v>
      </c>
      <c r="G97">
        <v>1.98</v>
      </c>
      <c r="H97">
        <v>1.94</v>
      </c>
      <c r="I97">
        <v>1.91</v>
      </c>
      <c r="J97">
        <v>1.93</v>
      </c>
      <c r="K97">
        <v>1.43</v>
      </c>
      <c r="L97">
        <v>1.48</v>
      </c>
      <c r="M97">
        <v>1.49</v>
      </c>
      <c r="N97">
        <v>1.1399999999999999</v>
      </c>
      <c r="O97">
        <v>1.17</v>
      </c>
      <c r="P97">
        <v>1.1599999999999999</v>
      </c>
      <c r="Q97">
        <v>1.19</v>
      </c>
      <c r="R97">
        <v>1.21</v>
      </c>
      <c r="S97">
        <v>1.25</v>
      </c>
      <c r="T97">
        <v>1.1599999999999999</v>
      </c>
      <c r="U97">
        <v>1.18</v>
      </c>
      <c r="V97">
        <v>1.1599999999999999</v>
      </c>
      <c r="W97">
        <v>1.02</v>
      </c>
      <c r="X97">
        <v>1</v>
      </c>
      <c r="Y97">
        <v>1.03</v>
      </c>
      <c r="Z97">
        <v>1.1000000000000001</v>
      </c>
      <c r="AA97">
        <v>1.0900000000000001</v>
      </c>
      <c r="AB97">
        <v>1.1000000000000001</v>
      </c>
      <c r="AC97">
        <v>1.35</v>
      </c>
      <c r="AD97">
        <v>1.34</v>
      </c>
      <c r="AE97">
        <v>1.31</v>
      </c>
      <c r="AF97">
        <v>1.21</v>
      </c>
      <c r="AG97">
        <v>1.23</v>
      </c>
      <c r="AH97">
        <v>1.26</v>
      </c>
      <c r="AI97">
        <v>1.29</v>
      </c>
      <c r="AJ97">
        <v>1.27</v>
      </c>
      <c r="AK97">
        <v>1.26</v>
      </c>
      <c r="AL97">
        <v>1.19</v>
      </c>
      <c r="AM97">
        <v>1.2</v>
      </c>
      <c r="AN97">
        <v>1.23</v>
      </c>
      <c r="AO97">
        <v>1.37</v>
      </c>
      <c r="AP97">
        <v>1.31</v>
      </c>
      <c r="AQ97">
        <v>1.33</v>
      </c>
      <c r="AR97">
        <v>1.19</v>
      </c>
      <c r="AS97">
        <v>1.1599999999999999</v>
      </c>
      <c r="AT97">
        <v>1.22</v>
      </c>
      <c r="AU97">
        <v>1.3</v>
      </c>
      <c r="AV97">
        <v>1.29</v>
      </c>
      <c r="AW97">
        <v>1.29</v>
      </c>
      <c r="BY97">
        <v>1.47</v>
      </c>
      <c r="BZ97">
        <v>1.46</v>
      </c>
      <c r="CA97">
        <v>1.43</v>
      </c>
      <c r="CB97">
        <v>2.35</v>
      </c>
      <c r="CC97">
        <v>2.2999999999999998</v>
      </c>
      <c r="CD97">
        <v>2.36</v>
      </c>
    </row>
    <row r="98" spans="1:82">
      <c r="A98">
        <v>10433939</v>
      </c>
      <c r="B98" s="95">
        <v>46189</v>
      </c>
      <c r="C98" s="96">
        <v>0.95453703703703707</v>
      </c>
      <c r="D98">
        <v>93.016000000000005</v>
      </c>
      <c r="E98">
        <v>2</v>
      </c>
      <c r="F98">
        <v>2</v>
      </c>
      <c r="G98">
        <v>1.99</v>
      </c>
      <c r="H98">
        <v>1.94</v>
      </c>
      <c r="I98">
        <v>1.92</v>
      </c>
      <c r="J98">
        <v>1.93</v>
      </c>
      <c r="K98">
        <v>1.43</v>
      </c>
      <c r="L98">
        <v>1.46</v>
      </c>
      <c r="M98">
        <v>1.47</v>
      </c>
      <c r="N98">
        <v>1.18</v>
      </c>
      <c r="O98">
        <v>1.1599999999999999</v>
      </c>
      <c r="P98">
        <v>1.1599999999999999</v>
      </c>
      <c r="Q98">
        <v>1.2</v>
      </c>
      <c r="R98">
        <v>1.2</v>
      </c>
      <c r="S98">
        <v>1.21</v>
      </c>
      <c r="T98">
        <v>1.1599999999999999</v>
      </c>
      <c r="U98">
        <v>1.18</v>
      </c>
      <c r="V98">
        <v>1.1599999999999999</v>
      </c>
      <c r="W98">
        <v>1</v>
      </c>
      <c r="X98">
        <v>1.01</v>
      </c>
      <c r="Y98">
        <v>1.02</v>
      </c>
      <c r="Z98">
        <v>1.1200000000000001</v>
      </c>
      <c r="AA98">
        <v>1.0900000000000001</v>
      </c>
      <c r="AB98">
        <v>1.1000000000000001</v>
      </c>
      <c r="AC98">
        <v>1.33</v>
      </c>
      <c r="AD98">
        <v>1.34</v>
      </c>
      <c r="AE98">
        <v>1.31</v>
      </c>
      <c r="AF98">
        <v>1.21</v>
      </c>
      <c r="AG98">
        <v>1.23</v>
      </c>
      <c r="AH98">
        <v>1.26</v>
      </c>
      <c r="AI98">
        <v>1.29</v>
      </c>
      <c r="AJ98">
        <v>1.27</v>
      </c>
      <c r="AK98">
        <v>1.27</v>
      </c>
      <c r="AL98">
        <v>1.19</v>
      </c>
      <c r="AM98">
        <v>1.2</v>
      </c>
      <c r="AN98">
        <v>1.21</v>
      </c>
      <c r="AO98">
        <v>1.36</v>
      </c>
      <c r="AP98">
        <v>1.3</v>
      </c>
      <c r="AQ98">
        <v>1.32</v>
      </c>
      <c r="AR98">
        <v>1.2</v>
      </c>
      <c r="AS98">
        <v>1.1599999999999999</v>
      </c>
      <c r="AT98">
        <v>1.22</v>
      </c>
      <c r="AU98">
        <v>1.3</v>
      </c>
      <c r="AV98">
        <v>1.29</v>
      </c>
      <c r="AW98">
        <v>1.3</v>
      </c>
      <c r="BY98">
        <v>1.46</v>
      </c>
      <c r="BZ98">
        <v>1.47</v>
      </c>
      <c r="CA98">
        <v>1.43</v>
      </c>
      <c r="CB98">
        <v>2.38</v>
      </c>
      <c r="CC98">
        <v>2.2999999999999998</v>
      </c>
      <c r="CD98">
        <v>2.36</v>
      </c>
    </row>
    <row r="99" spans="1:82">
      <c r="A99">
        <v>10433939</v>
      </c>
      <c r="B99" s="95">
        <v>46190</v>
      </c>
      <c r="C99" s="96">
        <v>0.65626157407407404</v>
      </c>
      <c r="D99">
        <v>93.108999999999995</v>
      </c>
      <c r="E99">
        <v>1.97</v>
      </c>
      <c r="F99">
        <v>2</v>
      </c>
      <c r="G99">
        <v>2.06</v>
      </c>
      <c r="H99">
        <v>1.91</v>
      </c>
      <c r="I99">
        <v>1.89</v>
      </c>
      <c r="J99">
        <v>1.92</v>
      </c>
      <c r="K99">
        <v>1.37</v>
      </c>
      <c r="L99">
        <v>1.42</v>
      </c>
      <c r="M99">
        <v>1.41</v>
      </c>
      <c r="N99">
        <v>1.1299999999999999</v>
      </c>
      <c r="O99">
        <v>1.1399999999999999</v>
      </c>
      <c r="P99">
        <v>1.1200000000000001</v>
      </c>
      <c r="Q99">
        <v>1.21</v>
      </c>
      <c r="R99">
        <v>1.2</v>
      </c>
      <c r="S99">
        <v>1.1599999999999999</v>
      </c>
      <c r="T99">
        <v>1.17</v>
      </c>
      <c r="U99">
        <v>1.1499999999999999</v>
      </c>
      <c r="V99">
        <v>1.1499999999999999</v>
      </c>
      <c r="W99">
        <v>0.99</v>
      </c>
      <c r="X99">
        <v>1.01</v>
      </c>
      <c r="Y99">
        <v>0.95</v>
      </c>
      <c r="Z99">
        <v>1.0900000000000001</v>
      </c>
      <c r="AA99">
        <v>1.06</v>
      </c>
      <c r="AB99">
        <v>1.07</v>
      </c>
      <c r="AC99">
        <v>1.29</v>
      </c>
      <c r="AD99">
        <v>1.32</v>
      </c>
      <c r="AE99">
        <v>1.32</v>
      </c>
      <c r="AF99">
        <v>1.24</v>
      </c>
      <c r="AG99">
        <v>1.26</v>
      </c>
      <c r="AH99">
        <v>1.29</v>
      </c>
      <c r="AI99">
        <v>1.28</v>
      </c>
      <c r="AJ99">
        <v>1.34</v>
      </c>
      <c r="AK99">
        <v>1.28</v>
      </c>
      <c r="AL99">
        <v>1.22</v>
      </c>
      <c r="AM99">
        <v>1.23</v>
      </c>
      <c r="AN99">
        <v>1.23</v>
      </c>
      <c r="AO99">
        <v>1.35</v>
      </c>
      <c r="AP99">
        <v>1.42</v>
      </c>
      <c r="AQ99">
        <v>1.44</v>
      </c>
      <c r="AR99">
        <v>1.17</v>
      </c>
      <c r="AS99">
        <v>1.22</v>
      </c>
      <c r="AT99">
        <v>1.21</v>
      </c>
      <c r="AU99">
        <v>1.28</v>
      </c>
      <c r="AV99">
        <v>1.36</v>
      </c>
      <c r="AW99">
        <v>1.32</v>
      </c>
      <c r="BY99">
        <v>1.46</v>
      </c>
      <c r="BZ99">
        <v>1.46</v>
      </c>
      <c r="CA99">
        <v>1.42</v>
      </c>
      <c r="CB99">
        <v>2.36</v>
      </c>
      <c r="CC99">
        <v>2.36</v>
      </c>
      <c r="CD99">
        <v>2.35</v>
      </c>
    </row>
    <row r="100" spans="1:82">
      <c r="A100">
        <v>10433939</v>
      </c>
      <c r="B100" s="95">
        <v>46190</v>
      </c>
      <c r="C100" s="96">
        <v>0.67547453703703708</v>
      </c>
      <c r="D100">
        <v>93.126999999999995</v>
      </c>
      <c r="E100">
        <v>1.96</v>
      </c>
      <c r="F100">
        <v>1.99</v>
      </c>
      <c r="G100">
        <v>1.98</v>
      </c>
      <c r="H100">
        <v>1.96</v>
      </c>
      <c r="I100">
        <v>1.92</v>
      </c>
      <c r="J100">
        <v>1.94</v>
      </c>
      <c r="K100">
        <v>1.36</v>
      </c>
      <c r="L100">
        <v>1.39</v>
      </c>
      <c r="M100">
        <v>1.4</v>
      </c>
      <c r="N100">
        <v>1.1599999999999999</v>
      </c>
      <c r="O100">
        <v>1.1499999999999999</v>
      </c>
      <c r="P100">
        <v>1.1599999999999999</v>
      </c>
      <c r="Q100">
        <v>1.19</v>
      </c>
      <c r="R100">
        <v>1.21</v>
      </c>
      <c r="S100">
        <v>1.19</v>
      </c>
      <c r="T100">
        <v>1.18</v>
      </c>
      <c r="U100">
        <v>1.19</v>
      </c>
      <c r="V100">
        <v>1.18</v>
      </c>
      <c r="W100">
        <v>1.03</v>
      </c>
      <c r="X100">
        <v>1.05</v>
      </c>
      <c r="Y100">
        <v>1</v>
      </c>
      <c r="Z100">
        <v>1.1000000000000001</v>
      </c>
      <c r="AA100">
        <v>1.0900000000000001</v>
      </c>
      <c r="AB100">
        <v>1.1100000000000001</v>
      </c>
      <c r="AC100">
        <v>1.32</v>
      </c>
      <c r="AD100">
        <v>1.36</v>
      </c>
      <c r="AE100">
        <v>1.34</v>
      </c>
      <c r="AF100">
        <v>1.29</v>
      </c>
      <c r="AG100">
        <v>1.27</v>
      </c>
      <c r="AH100">
        <v>1.31</v>
      </c>
      <c r="AI100">
        <v>1.26</v>
      </c>
      <c r="AJ100">
        <v>1.31</v>
      </c>
      <c r="AK100">
        <v>1.29</v>
      </c>
      <c r="AL100">
        <v>1.25</v>
      </c>
      <c r="AM100">
        <v>1.26</v>
      </c>
      <c r="AN100">
        <v>1.26</v>
      </c>
      <c r="AO100">
        <v>1.37</v>
      </c>
      <c r="AP100">
        <v>1.4</v>
      </c>
      <c r="AQ100">
        <v>1.41</v>
      </c>
      <c r="AR100">
        <v>1.19</v>
      </c>
      <c r="AS100">
        <v>1.2</v>
      </c>
      <c r="AT100">
        <v>1.19</v>
      </c>
      <c r="AU100">
        <v>1.29</v>
      </c>
      <c r="AV100">
        <v>1.31</v>
      </c>
      <c r="AW100">
        <v>1.3</v>
      </c>
      <c r="BY100">
        <v>1.47</v>
      </c>
      <c r="BZ100">
        <v>1.45</v>
      </c>
      <c r="CA100">
        <v>1.42</v>
      </c>
      <c r="CB100">
        <v>2.38</v>
      </c>
      <c r="CC100">
        <v>2.34</v>
      </c>
      <c r="CD100">
        <v>2.36</v>
      </c>
    </row>
    <row r="101" spans="1:82">
      <c r="A101">
        <v>10433939</v>
      </c>
      <c r="B101" s="95">
        <v>46190</v>
      </c>
      <c r="C101" s="96">
        <v>0.67670138888888887</v>
      </c>
      <c r="D101">
        <v>92.849000000000004</v>
      </c>
      <c r="E101">
        <v>1.89</v>
      </c>
      <c r="F101">
        <v>1.95</v>
      </c>
      <c r="G101">
        <v>1.91</v>
      </c>
      <c r="H101">
        <v>1.99</v>
      </c>
      <c r="I101">
        <v>1.93</v>
      </c>
      <c r="J101">
        <v>1.97</v>
      </c>
      <c r="K101">
        <v>1.37</v>
      </c>
      <c r="L101">
        <v>1.43</v>
      </c>
      <c r="M101">
        <v>1.36</v>
      </c>
      <c r="N101">
        <v>1.1200000000000001</v>
      </c>
      <c r="O101">
        <v>1.1299999999999999</v>
      </c>
      <c r="P101">
        <v>1.1100000000000001</v>
      </c>
      <c r="Q101">
        <v>1.1499999999999999</v>
      </c>
      <c r="R101">
        <v>1.17</v>
      </c>
      <c r="S101">
        <v>1.1499999999999999</v>
      </c>
      <c r="T101">
        <v>1.1299999999999999</v>
      </c>
      <c r="U101">
        <v>1.1399999999999999</v>
      </c>
      <c r="V101">
        <v>1.1399999999999999</v>
      </c>
      <c r="W101">
        <v>1.04</v>
      </c>
      <c r="X101">
        <v>1.01</v>
      </c>
      <c r="Y101">
        <v>0.96</v>
      </c>
      <c r="Z101">
        <v>1.07</v>
      </c>
      <c r="AA101">
        <v>1.07</v>
      </c>
      <c r="AB101">
        <v>1.07</v>
      </c>
      <c r="AC101">
        <v>1.35</v>
      </c>
      <c r="AD101">
        <v>1.4</v>
      </c>
      <c r="AE101">
        <v>1.3</v>
      </c>
      <c r="AF101">
        <v>1.25</v>
      </c>
      <c r="AG101">
        <v>1.26</v>
      </c>
      <c r="AH101">
        <v>1.26</v>
      </c>
      <c r="AI101">
        <v>1.31</v>
      </c>
      <c r="AJ101">
        <v>1.27</v>
      </c>
      <c r="AK101">
        <v>1.26</v>
      </c>
      <c r="AL101">
        <v>1.21</v>
      </c>
      <c r="AM101">
        <v>1.21</v>
      </c>
      <c r="AN101">
        <v>1.22</v>
      </c>
      <c r="AO101">
        <v>1.34</v>
      </c>
      <c r="AP101">
        <v>1.4</v>
      </c>
      <c r="AQ101">
        <v>1.3</v>
      </c>
      <c r="AR101">
        <v>1.18</v>
      </c>
      <c r="AS101">
        <v>1.19</v>
      </c>
      <c r="AT101">
        <v>1.2</v>
      </c>
      <c r="AU101">
        <v>1.29</v>
      </c>
      <c r="AV101">
        <v>1.27</v>
      </c>
      <c r="AW101">
        <v>1.28</v>
      </c>
      <c r="BY101">
        <v>1.42</v>
      </c>
      <c r="BZ101">
        <v>1.45</v>
      </c>
      <c r="CA101">
        <v>1.45</v>
      </c>
      <c r="CB101">
        <v>2.34</v>
      </c>
      <c r="CC101">
        <v>2.34</v>
      </c>
      <c r="CD101">
        <v>2.35</v>
      </c>
    </row>
    <row r="102" spans="1:82">
      <c r="A102">
        <v>10433939</v>
      </c>
      <c r="B102" s="95">
        <v>46190</v>
      </c>
      <c r="C102" s="96">
        <v>0.67776620370370366</v>
      </c>
      <c r="D102">
        <v>92.876000000000005</v>
      </c>
      <c r="E102">
        <v>1.91</v>
      </c>
      <c r="F102">
        <v>1.96</v>
      </c>
      <c r="G102">
        <v>1.9</v>
      </c>
      <c r="H102">
        <v>1.98</v>
      </c>
      <c r="I102">
        <v>1.96</v>
      </c>
      <c r="J102">
        <v>1.97</v>
      </c>
      <c r="K102">
        <v>1.36</v>
      </c>
      <c r="L102">
        <v>1.41</v>
      </c>
      <c r="M102">
        <v>1.39</v>
      </c>
      <c r="N102">
        <v>1.1599999999999999</v>
      </c>
      <c r="O102">
        <v>1.17</v>
      </c>
      <c r="P102">
        <v>1.19</v>
      </c>
      <c r="Q102">
        <v>1.17</v>
      </c>
      <c r="R102">
        <v>1.19</v>
      </c>
      <c r="S102">
        <v>1.17</v>
      </c>
      <c r="T102">
        <v>1.1599999999999999</v>
      </c>
      <c r="U102">
        <v>1.17</v>
      </c>
      <c r="V102">
        <v>1.1599999999999999</v>
      </c>
      <c r="W102">
        <v>1.07</v>
      </c>
      <c r="X102">
        <v>1.05</v>
      </c>
      <c r="Y102">
        <v>1</v>
      </c>
      <c r="Z102">
        <v>1.0900000000000001</v>
      </c>
      <c r="AA102">
        <v>1.1000000000000001</v>
      </c>
      <c r="AB102">
        <v>1.0900000000000001</v>
      </c>
      <c r="AC102">
        <v>1.31</v>
      </c>
      <c r="AD102">
        <v>1.36</v>
      </c>
      <c r="AE102">
        <v>1.31</v>
      </c>
      <c r="AF102">
        <v>1.29</v>
      </c>
      <c r="AG102">
        <v>1.27</v>
      </c>
      <c r="AH102">
        <v>1.29</v>
      </c>
      <c r="AI102">
        <v>1.3</v>
      </c>
      <c r="AJ102">
        <v>1.29</v>
      </c>
      <c r="AK102">
        <v>1.28</v>
      </c>
      <c r="AL102">
        <v>1.24</v>
      </c>
      <c r="AM102">
        <v>1.2</v>
      </c>
      <c r="AN102">
        <v>1.2</v>
      </c>
      <c r="AO102">
        <v>1.34</v>
      </c>
      <c r="AP102">
        <v>1.36</v>
      </c>
      <c r="AQ102">
        <v>1.31</v>
      </c>
      <c r="AR102">
        <v>1.19</v>
      </c>
      <c r="AS102">
        <v>1.22</v>
      </c>
      <c r="AT102">
        <v>1.21</v>
      </c>
      <c r="AU102">
        <v>1.26</v>
      </c>
      <c r="AV102">
        <v>1.26</v>
      </c>
      <c r="AW102">
        <v>1.29</v>
      </c>
      <c r="BY102">
        <v>1.46</v>
      </c>
      <c r="BZ102">
        <v>1.44</v>
      </c>
      <c r="CA102">
        <v>1.46</v>
      </c>
      <c r="CB102">
        <v>2.33</v>
      </c>
      <c r="CC102">
        <v>2.36</v>
      </c>
      <c r="CD102">
        <v>2.37</v>
      </c>
    </row>
    <row r="103" spans="1:82">
      <c r="A103">
        <v>10433939</v>
      </c>
      <c r="B103" s="95">
        <v>46190</v>
      </c>
      <c r="C103" s="96">
        <v>0.67914351851851851</v>
      </c>
      <c r="D103">
        <v>92.784000000000006</v>
      </c>
      <c r="E103">
        <v>1.85</v>
      </c>
      <c r="F103">
        <v>1.9</v>
      </c>
      <c r="G103">
        <v>1.85</v>
      </c>
      <c r="H103">
        <v>2</v>
      </c>
      <c r="I103">
        <v>1.94</v>
      </c>
      <c r="J103">
        <v>1.97</v>
      </c>
      <c r="K103">
        <v>1.34</v>
      </c>
      <c r="L103">
        <v>1.39</v>
      </c>
      <c r="M103">
        <v>1.38</v>
      </c>
      <c r="N103">
        <v>1.1599999999999999</v>
      </c>
      <c r="O103">
        <v>1.17</v>
      </c>
      <c r="P103">
        <v>1.1499999999999999</v>
      </c>
      <c r="Q103">
        <v>1.21</v>
      </c>
      <c r="R103">
        <v>1.19</v>
      </c>
      <c r="S103">
        <v>1.2</v>
      </c>
      <c r="T103">
        <v>1.19</v>
      </c>
      <c r="U103">
        <v>1.1599999999999999</v>
      </c>
      <c r="V103">
        <v>1.1599999999999999</v>
      </c>
      <c r="W103">
        <v>1</v>
      </c>
      <c r="X103">
        <v>0.96</v>
      </c>
      <c r="Y103">
        <v>0.97</v>
      </c>
      <c r="Z103">
        <v>1.1000000000000001</v>
      </c>
      <c r="AA103">
        <v>1.08</v>
      </c>
      <c r="AC103">
        <v>1.29</v>
      </c>
      <c r="AD103">
        <v>1.31</v>
      </c>
      <c r="AE103">
        <v>1.33</v>
      </c>
      <c r="AF103">
        <v>1.28</v>
      </c>
      <c r="AG103">
        <v>1.28</v>
      </c>
      <c r="AH103">
        <v>1.3</v>
      </c>
      <c r="AI103">
        <v>1.23</v>
      </c>
      <c r="AJ103">
        <v>1.22</v>
      </c>
      <c r="AK103">
        <v>1.23</v>
      </c>
      <c r="AL103">
        <v>1.24</v>
      </c>
      <c r="AM103">
        <v>1.25</v>
      </c>
      <c r="AN103">
        <v>1.26</v>
      </c>
      <c r="AO103">
        <v>1.38</v>
      </c>
      <c r="AP103">
        <v>1.4</v>
      </c>
      <c r="AQ103">
        <v>1.39</v>
      </c>
      <c r="AR103">
        <v>1.21</v>
      </c>
      <c r="AS103">
        <v>1.24</v>
      </c>
      <c r="AT103">
        <v>1.25</v>
      </c>
      <c r="AU103">
        <v>1.32</v>
      </c>
      <c r="AV103">
        <v>1.37</v>
      </c>
      <c r="AW103">
        <v>1.3</v>
      </c>
      <c r="BY103">
        <v>1.48</v>
      </c>
      <c r="BZ103">
        <v>1.5</v>
      </c>
      <c r="CA103">
        <v>1.51</v>
      </c>
      <c r="CB103">
        <v>2.36</v>
      </c>
      <c r="CC103">
        <v>2.34</v>
      </c>
      <c r="CD103">
        <v>2.35</v>
      </c>
    </row>
    <row r="104" spans="1:82">
      <c r="A104">
        <v>10433939</v>
      </c>
      <c r="B104" s="95">
        <v>46190</v>
      </c>
      <c r="C104" s="96">
        <v>0.68030092592592595</v>
      </c>
      <c r="D104">
        <v>92.957999999999998</v>
      </c>
      <c r="E104">
        <v>1.88</v>
      </c>
      <c r="F104">
        <v>1.91</v>
      </c>
      <c r="G104">
        <v>1.86</v>
      </c>
      <c r="H104">
        <v>2</v>
      </c>
      <c r="I104">
        <v>1.93</v>
      </c>
      <c r="J104">
        <v>1.98</v>
      </c>
      <c r="K104">
        <v>1.37</v>
      </c>
      <c r="L104">
        <v>1.39</v>
      </c>
      <c r="M104">
        <v>1.37</v>
      </c>
      <c r="N104">
        <v>1.1599999999999999</v>
      </c>
      <c r="O104">
        <v>1.1499999999999999</v>
      </c>
      <c r="P104">
        <v>1.1599999999999999</v>
      </c>
      <c r="Q104">
        <v>1.22</v>
      </c>
      <c r="R104">
        <v>1.18</v>
      </c>
      <c r="S104">
        <v>1.21</v>
      </c>
      <c r="T104">
        <v>1.2</v>
      </c>
      <c r="U104">
        <v>1.18</v>
      </c>
      <c r="V104">
        <v>1.17</v>
      </c>
      <c r="W104">
        <v>0.99</v>
      </c>
      <c r="X104">
        <v>0.98</v>
      </c>
      <c r="Y104">
        <v>0.97</v>
      </c>
      <c r="Z104">
        <v>1.1200000000000001</v>
      </c>
      <c r="AA104">
        <v>1.1000000000000001</v>
      </c>
      <c r="AB104">
        <v>1.1200000000000001</v>
      </c>
      <c r="AC104">
        <v>1.29</v>
      </c>
      <c r="AD104">
        <v>1.3</v>
      </c>
      <c r="AE104">
        <v>1.32</v>
      </c>
      <c r="AF104">
        <v>1.3</v>
      </c>
      <c r="AG104">
        <v>1.28</v>
      </c>
      <c r="AH104">
        <v>1.3</v>
      </c>
      <c r="AI104">
        <v>1.22</v>
      </c>
      <c r="AJ104">
        <v>1.24</v>
      </c>
      <c r="AK104">
        <v>1.22</v>
      </c>
      <c r="AL104">
        <v>1.23</v>
      </c>
      <c r="AM104">
        <v>1.26</v>
      </c>
      <c r="AN104">
        <v>1.25</v>
      </c>
      <c r="AO104">
        <v>1.36</v>
      </c>
      <c r="AP104">
        <v>1.39</v>
      </c>
      <c r="AQ104">
        <v>1.38</v>
      </c>
      <c r="AR104">
        <v>1.22</v>
      </c>
      <c r="AS104">
        <v>1.24</v>
      </c>
      <c r="AT104">
        <v>1.25</v>
      </c>
      <c r="AU104">
        <v>1.32</v>
      </c>
      <c r="AV104">
        <v>1.36</v>
      </c>
      <c r="AW104">
        <v>1.32</v>
      </c>
      <c r="BY104">
        <v>1.48</v>
      </c>
      <c r="BZ104">
        <v>1.51</v>
      </c>
      <c r="CA104">
        <v>1.49</v>
      </c>
      <c r="CB104">
        <v>2.36</v>
      </c>
      <c r="CC104">
        <v>2.35</v>
      </c>
      <c r="CD104">
        <v>2.36</v>
      </c>
    </row>
    <row r="105" spans="1:82">
      <c r="A105">
        <v>10433939</v>
      </c>
      <c r="B105" s="95">
        <v>46190</v>
      </c>
      <c r="C105" s="96">
        <v>0.68172453703703706</v>
      </c>
      <c r="D105">
        <v>92.91</v>
      </c>
      <c r="E105">
        <v>1.91</v>
      </c>
      <c r="F105">
        <v>1.96</v>
      </c>
      <c r="G105">
        <v>2.0299999999999998</v>
      </c>
      <c r="H105">
        <v>1.92</v>
      </c>
      <c r="I105">
        <v>1.91</v>
      </c>
      <c r="J105">
        <v>1.93</v>
      </c>
      <c r="K105">
        <v>1.36</v>
      </c>
      <c r="L105">
        <v>1.5</v>
      </c>
      <c r="M105">
        <v>1.43</v>
      </c>
      <c r="N105">
        <v>1.1200000000000001</v>
      </c>
      <c r="O105">
        <v>1.1499999999999999</v>
      </c>
      <c r="P105">
        <v>1.1499999999999999</v>
      </c>
      <c r="Q105">
        <v>1.17</v>
      </c>
      <c r="R105">
        <v>1.22</v>
      </c>
      <c r="S105">
        <v>1.18</v>
      </c>
      <c r="T105">
        <v>1.18</v>
      </c>
      <c r="U105">
        <v>1.1599999999999999</v>
      </c>
      <c r="V105">
        <v>1.17</v>
      </c>
      <c r="W105">
        <v>1.02</v>
      </c>
      <c r="X105">
        <v>1.04</v>
      </c>
      <c r="Y105">
        <v>1.03</v>
      </c>
      <c r="Z105">
        <v>1.0900000000000001</v>
      </c>
      <c r="AA105">
        <v>1.08</v>
      </c>
      <c r="AB105">
        <v>1.0900000000000001</v>
      </c>
      <c r="AC105">
        <v>1.34</v>
      </c>
      <c r="AD105">
        <v>1.29</v>
      </c>
      <c r="AE105">
        <v>1.28</v>
      </c>
      <c r="AF105">
        <v>1.24</v>
      </c>
      <c r="AG105">
        <v>1.26</v>
      </c>
      <c r="AH105">
        <v>1.26</v>
      </c>
      <c r="AI105">
        <v>1.26</v>
      </c>
      <c r="AJ105">
        <v>1.36</v>
      </c>
      <c r="AK105">
        <v>1.22</v>
      </c>
      <c r="AL105">
        <v>1.2</v>
      </c>
      <c r="AM105">
        <v>1.21</v>
      </c>
      <c r="AN105">
        <v>1.21</v>
      </c>
      <c r="AO105">
        <v>1.29</v>
      </c>
      <c r="AP105">
        <v>1.34</v>
      </c>
      <c r="AQ105">
        <v>1.24</v>
      </c>
      <c r="AR105">
        <v>1.19</v>
      </c>
      <c r="AS105">
        <v>1.22</v>
      </c>
      <c r="AT105">
        <v>1.18</v>
      </c>
      <c r="AU105">
        <v>1.22</v>
      </c>
      <c r="AV105">
        <v>1.3</v>
      </c>
      <c r="AW105">
        <v>1.22</v>
      </c>
      <c r="BY105">
        <v>1.43</v>
      </c>
      <c r="BZ105">
        <v>1.52</v>
      </c>
      <c r="CA105">
        <v>1.46</v>
      </c>
      <c r="CB105">
        <v>2.2999999999999998</v>
      </c>
      <c r="CC105">
        <v>2.35</v>
      </c>
      <c r="CD105">
        <v>2.35</v>
      </c>
    </row>
    <row r="106" spans="1:82">
      <c r="A106">
        <v>10433939</v>
      </c>
      <c r="B106" s="95">
        <v>46190</v>
      </c>
      <c r="C106" s="96">
        <v>0.68284722222222227</v>
      </c>
      <c r="D106">
        <v>92.876000000000005</v>
      </c>
      <c r="E106">
        <v>1.89</v>
      </c>
      <c r="F106">
        <v>1.9</v>
      </c>
      <c r="G106">
        <v>1.96</v>
      </c>
      <c r="H106">
        <v>1.9</v>
      </c>
      <c r="I106">
        <v>1.96</v>
      </c>
      <c r="J106">
        <v>1.91</v>
      </c>
      <c r="K106">
        <v>1.35</v>
      </c>
      <c r="L106">
        <v>1.46</v>
      </c>
      <c r="M106">
        <v>1.4</v>
      </c>
      <c r="N106">
        <v>1.1599999999999999</v>
      </c>
      <c r="O106">
        <v>1.19</v>
      </c>
      <c r="P106">
        <v>1.1599999999999999</v>
      </c>
      <c r="Q106">
        <v>1.19</v>
      </c>
      <c r="R106">
        <v>1.26</v>
      </c>
      <c r="S106">
        <v>1.21</v>
      </c>
      <c r="T106">
        <v>1.2</v>
      </c>
      <c r="U106">
        <v>1.19</v>
      </c>
      <c r="V106">
        <v>1.19</v>
      </c>
      <c r="W106">
        <v>1.03</v>
      </c>
      <c r="X106">
        <v>1.06</v>
      </c>
      <c r="Y106">
        <v>1.05</v>
      </c>
      <c r="Z106">
        <v>1.1000000000000001</v>
      </c>
      <c r="AA106">
        <v>1.0900000000000001</v>
      </c>
      <c r="AB106">
        <v>1.1100000000000001</v>
      </c>
      <c r="AC106">
        <v>1.32</v>
      </c>
      <c r="AD106">
        <v>1.32</v>
      </c>
      <c r="AE106">
        <v>1.3</v>
      </c>
      <c r="AF106">
        <v>1.26</v>
      </c>
      <c r="AG106">
        <v>1.27</v>
      </c>
      <c r="AH106">
        <v>1.29</v>
      </c>
      <c r="AI106">
        <v>1.25</v>
      </c>
      <c r="AJ106">
        <v>1.3</v>
      </c>
      <c r="AK106">
        <v>1.26</v>
      </c>
      <c r="AL106">
        <v>1.26</v>
      </c>
      <c r="AM106">
        <v>1.2</v>
      </c>
      <c r="AN106">
        <v>1.24</v>
      </c>
      <c r="AO106">
        <v>1.29</v>
      </c>
      <c r="AP106">
        <v>1.34</v>
      </c>
      <c r="AQ106">
        <v>1.24</v>
      </c>
      <c r="AR106">
        <v>1.2</v>
      </c>
      <c r="AS106">
        <v>1.24</v>
      </c>
      <c r="AT106">
        <v>1.2</v>
      </c>
      <c r="AU106">
        <v>1.26</v>
      </c>
      <c r="AV106">
        <v>1.29</v>
      </c>
      <c r="AW106">
        <v>1.26</v>
      </c>
      <c r="BY106">
        <v>1.43</v>
      </c>
      <c r="BZ106">
        <v>1.49</v>
      </c>
      <c r="CA106">
        <v>1.49</v>
      </c>
      <c r="CB106">
        <v>2.31</v>
      </c>
      <c r="CC106">
        <v>2.36</v>
      </c>
      <c r="CD106">
        <v>2.35</v>
      </c>
    </row>
    <row r="107" spans="1:82">
      <c r="A107">
        <v>10433939</v>
      </c>
      <c r="B107" s="95">
        <v>46190</v>
      </c>
      <c r="C107" s="96">
        <v>0.68403935185185183</v>
      </c>
      <c r="D107">
        <v>93.484999999999999</v>
      </c>
      <c r="E107">
        <v>1.91</v>
      </c>
      <c r="F107">
        <v>1.96</v>
      </c>
      <c r="G107">
        <v>1.94</v>
      </c>
      <c r="H107">
        <v>1.92</v>
      </c>
      <c r="I107">
        <v>1.93</v>
      </c>
      <c r="J107">
        <v>1.94</v>
      </c>
      <c r="K107">
        <v>1.32</v>
      </c>
      <c r="L107">
        <v>1.43</v>
      </c>
      <c r="M107">
        <v>1.42</v>
      </c>
      <c r="N107">
        <v>1.1299999999999999</v>
      </c>
      <c r="O107">
        <v>1.17</v>
      </c>
      <c r="P107">
        <v>1.1499999999999999</v>
      </c>
      <c r="Q107">
        <v>1.1599999999999999</v>
      </c>
      <c r="R107">
        <v>1.2</v>
      </c>
      <c r="S107">
        <v>1.17</v>
      </c>
      <c r="T107">
        <v>1.1399999999999999</v>
      </c>
      <c r="U107">
        <v>1.1499999999999999</v>
      </c>
      <c r="V107">
        <v>1.1599999999999999</v>
      </c>
      <c r="W107">
        <v>0.97</v>
      </c>
      <c r="X107">
        <v>0.98</v>
      </c>
      <c r="Y107">
        <v>1</v>
      </c>
      <c r="Z107">
        <v>1.0900000000000001</v>
      </c>
      <c r="AA107">
        <v>1.07</v>
      </c>
      <c r="AB107">
        <v>1.0900000000000001</v>
      </c>
      <c r="AC107">
        <v>1.28</v>
      </c>
      <c r="AD107">
        <v>1.26</v>
      </c>
      <c r="AE107">
        <v>1.31</v>
      </c>
      <c r="AF107">
        <v>1.25</v>
      </c>
      <c r="AG107">
        <v>1.27</v>
      </c>
      <c r="AH107">
        <v>1.26</v>
      </c>
      <c r="AI107">
        <v>1.28</v>
      </c>
      <c r="AJ107">
        <v>1.35</v>
      </c>
      <c r="AK107">
        <v>1.24</v>
      </c>
      <c r="AL107">
        <v>1.22</v>
      </c>
      <c r="AM107">
        <v>1.23</v>
      </c>
      <c r="AN107">
        <v>1.24</v>
      </c>
      <c r="AO107">
        <v>1.3</v>
      </c>
      <c r="AP107">
        <v>1.41</v>
      </c>
      <c r="AQ107">
        <v>1.36</v>
      </c>
      <c r="AR107">
        <v>1.19</v>
      </c>
      <c r="AS107">
        <v>1.22</v>
      </c>
      <c r="AT107">
        <v>1.24</v>
      </c>
      <c r="AU107">
        <v>1.24</v>
      </c>
      <c r="AV107">
        <v>1.32</v>
      </c>
      <c r="AW107">
        <v>1.34</v>
      </c>
      <c r="BY107">
        <v>1.44</v>
      </c>
      <c r="BZ107">
        <v>1.51</v>
      </c>
      <c r="CA107">
        <v>1.49</v>
      </c>
      <c r="CB107">
        <v>2.31</v>
      </c>
      <c r="CC107">
        <v>2.36</v>
      </c>
      <c r="CD107">
        <v>2.38</v>
      </c>
    </row>
    <row r="108" spans="1:82">
      <c r="A108">
        <v>10433939</v>
      </c>
      <c r="B108" s="95">
        <v>46190</v>
      </c>
      <c r="C108" s="96">
        <v>0.69233796296296302</v>
      </c>
      <c r="D108">
        <v>93.51</v>
      </c>
      <c r="E108">
        <v>1.89</v>
      </c>
      <c r="F108">
        <v>1.91</v>
      </c>
      <c r="G108">
        <v>1.91</v>
      </c>
      <c r="H108">
        <v>1.9</v>
      </c>
      <c r="I108">
        <v>1.93</v>
      </c>
      <c r="J108">
        <v>1.91</v>
      </c>
      <c r="K108">
        <v>1.3</v>
      </c>
      <c r="L108">
        <v>1.39</v>
      </c>
      <c r="M108">
        <v>1.4</v>
      </c>
      <c r="N108">
        <v>1.1599999999999999</v>
      </c>
      <c r="O108">
        <v>1.19</v>
      </c>
      <c r="P108">
        <v>1.17</v>
      </c>
      <c r="Q108">
        <v>1.19</v>
      </c>
      <c r="R108">
        <v>1.21</v>
      </c>
      <c r="S108">
        <v>1.19</v>
      </c>
      <c r="T108">
        <v>1.1599999999999999</v>
      </c>
      <c r="U108">
        <v>1.19</v>
      </c>
      <c r="V108">
        <v>1.2</v>
      </c>
      <c r="W108">
        <v>0.99</v>
      </c>
      <c r="X108">
        <v>1</v>
      </c>
      <c r="Y108">
        <v>1.04</v>
      </c>
      <c r="Z108">
        <v>1.1200000000000001</v>
      </c>
      <c r="AA108">
        <v>1.1000000000000001</v>
      </c>
      <c r="AB108">
        <v>1.1200000000000001</v>
      </c>
      <c r="AC108">
        <v>1.29</v>
      </c>
      <c r="AD108">
        <v>1.27</v>
      </c>
      <c r="AE108">
        <v>1.29</v>
      </c>
      <c r="AF108">
        <v>1.26</v>
      </c>
      <c r="AG108">
        <v>1.29</v>
      </c>
      <c r="AH108">
        <v>1.28</v>
      </c>
      <c r="AI108">
        <v>1.3</v>
      </c>
      <c r="AJ108">
        <v>1.32</v>
      </c>
      <c r="AK108">
        <v>1.29</v>
      </c>
      <c r="AL108">
        <v>1.26</v>
      </c>
      <c r="AM108">
        <v>1.21</v>
      </c>
      <c r="AN108">
        <v>1.26</v>
      </c>
      <c r="AO108">
        <v>1.32</v>
      </c>
      <c r="AP108">
        <v>1.39</v>
      </c>
      <c r="AQ108">
        <v>1.37</v>
      </c>
      <c r="AR108">
        <v>1.2</v>
      </c>
      <c r="AS108">
        <v>1.2</v>
      </c>
      <c r="AT108">
        <v>1.26</v>
      </c>
      <c r="AU108">
        <v>1.26</v>
      </c>
      <c r="AV108">
        <v>1.29</v>
      </c>
      <c r="AW108">
        <v>1.31</v>
      </c>
      <c r="BY108">
        <v>1.46</v>
      </c>
      <c r="BZ108">
        <v>1.49</v>
      </c>
      <c r="CA108">
        <v>1.51</v>
      </c>
      <c r="CB108">
        <v>2.34</v>
      </c>
      <c r="CC108">
        <v>2.37</v>
      </c>
      <c r="CD108">
        <v>2.39</v>
      </c>
    </row>
    <row r="109" spans="1:82">
      <c r="A109">
        <v>10433939</v>
      </c>
      <c r="B109" s="95">
        <v>46190</v>
      </c>
      <c r="C109" s="96">
        <v>0.69251157407407404</v>
      </c>
      <c r="D109">
        <v>93.51</v>
      </c>
      <c r="E109">
        <v>1.89</v>
      </c>
      <c r="F109">
        <v>1.91</v>
      </c>
      <c r="G109">
        <v>1.91</v>
      </c>
      <c r="H109">
        <v>1.9</v>
      </c>
      <c r="I109">
        <v>1.93</v>
      </c>
      <c r="J109">
        <v>1.91</v>
      </c>
      <c r="K109">
        <v>1.3</v>
      </c>
      <c r="L109">
        <v>1.39</v>
      </c>
      <c r="M109">
        <v>1.4</v>
      </c>
      <c r="N109">
        <v>1.1599999999999999</v>
      </c>
      <c r="O109">
        <v>1.19</v>
      </c>
      <c r="P109">
        <v>1.17</v>
      </c>
      <c r="Q109">
        <v>1.19</v>
      </c>
      <c r="R109">
        <v>1.21</v>
      </c>
      <c r="S109">
        <v>1.19</v>
      </c>
      <c r="T109">
        <v>1.1599999999999999</v>
      </c>
      <c r="U109">
        <v>1.19</v>
      </c>
      <c r="V109">
        <v>1.2</v>
      </c>
      <c r="W109">
        <v>0.99</v>
      </c>
      <c r="X109">
        <v>1</v>
      </c>
      <c r="Y109">
        <v>1.04</v>
      </c>
      <c r="Z109">
        <v>1.1200000000000001</v>
      </c>
      <c r="AA109">
        <v>1.1000000000000001</v>
      </c>
      <c r="AB109">
        <v>1.1200000000000001</v>
      </c>
      <c r="AC109">
        <v>1.29</v>
      </c>
      <c r="AD109">
        <v>1.27</v>
      </c>
      <c r="AE109">
        <v>1.29</v>
      </c>
      <c r="AF109">
        <v>1.26</v>
      </c>
      <c r="AG109">
        <v>1.29</v>
      </c>
      <c r="AH109">
        <v>1.28</v>
      </c>
      <c r="AI109">
        <v>1.3</v>
      </c>
      <c r="AJ109">
        <v>1.32</v>
      </c>
      <c r="AK109">
        <v>1.29</v>
      </c>
      <c r="AL109">
        <v>1.26</v>
      </c>
      <c r="AM109">
        <v>1.21</v>
      </c>
      <c r="AN109">
        <v>1.26</v>
      </c>
      <c r="AO109">
        <v>1.32</v>
      </c>
      <c r="AP109">
        <v>1.39</v>
      </c>
      <c r="AQ109">
        <v>1.37</v>
      </c>
      <c r="AR109">
        <v>1.2</v>
      </c>
      <c r="AS109">
        <v>1.2</v>
      </c>
      <c r="AT109">
        <v>1.26</v>
      </c>
      <c r="AU109">
        <v>1.26</v>
      </c>
      <c r="AV109">
        <v>1.29</v>
      </c>
      <c r="AW109">
        <v>1.31</v>
      </c>
      <c r="BY109">
        <v>1.46</v>
      </c>
      <c r="BZ109">
        <v>1.49</v>
      </c>
      <c r="CA109">
        <v>1.51</v>
      </c>
      <c r="CB109">
        <v>2.34</v>
      </c>
      <c r="CC109">
        <v>2.37</v>
      </c>
      <c r="CD109">
        <v>2.39</v>
      </c>
    </row>
    <row r="110" spans="1:82">
      <c r="A110">
        <v>10433939</v>
      </c>
      <c r="B110" s="95">
        <v>46190</v>
      </c>
      <c r="C110" s="96">
        <v>0.819849537037037</v>
      </c>
      <c r="D110">
        <v>92.915000000000006</v>
      </c>
      <c r="E110">
        <v>1.92</v>
      </c>
      <c r="F110">
        <v>1.95</v>
      </c>
      <c r="G110">
        <v>1.93</v>
      </c>
      <c r="H110">
        <v>1.96</v>
      </c>
      <c r="I110">
        <v>1.96</v>
      </c>
      <c r="J110">
        <v>1.96</v>
      </c>
      <c r="K110">
        <v>1.38</v>
      </c>
      <c r="L110">
        <v>1.45</v>
      </c>
      <c r="M110">
        <v>1.38</v>
      </c>
      <c r="N110">
        <v>1.18</v>
      </c>
      <c r="O110">
        <v>1.1599999999999999</v>
      </c>
      <c r="P110">
        <v>1.1499999999999999</v>
      </c>
      <c r="Q110">
        <v>1.17</v>
      </c>
      <c r="R110">
        <v>1.24</v>
      </c>
      <c r="S110">
        <v>1.19</v>
      </c>
      <c r="T110">
        <v>1.17</v>
      </c>
      <c r="U110">
        <v>1.18</v>
      </c>
      <c r="V110">
        <v>1.1599999999999999</v>
      </c>
      <c r="W110">
        <v>0.99</v>
      </c>
      <c r="X110">
        <v>1.03</v>
      </c>
      <c r="Y110">
        <v>1.05</v>
      </c>
      <c r="Z110">
        <v>1.1000000000000001</v>
      </c>
      <c r="AA110">
        <v>1.0900000000000001</v>
      </c>
      <c r="AB110">
        <v>1.08</v>
      </c>
      <c r="AC110">
        <v>1.35</v>
      </c>
      <c r="AD110">
        <v>1.34</v>
      </c>
      <c r="AE110">
        <v>1.36</v>
      </c>
      <c r="AF110">
        <v>1.26</v>
      </c>
      <c r="AG110">
        <v>1.26</v>
      </c>
      <c r="AH110">
        <v>1.27</v>
      </c>
      <c r="AI110">
        <v>1.29</v>
      </c>
      <c r="AJ110">
        <v>1.31</v>
      </c>
      <c r="AK110">
        <v>1.26</v>
      </c>
      <c r="AL110">
        <v>1.22</v>
      </c>
      <c r="AM110">
        <v>1.22</v>
      </c>
      <c r="AN110">
        <v>1.24</v>
      </c>
      <c r="AO110">
        <v>1.38</v>
      </c>
      <c r="AP110">
        <v>1.32</v>
      </c>
      <c r="AQ110">
        <v>1.35</v>
      </c>
      <c r="AR110">
        <v>1.2</v>
      </c>
      <c r="AS110">
        <v>1.21</v>
      </c>
      <c r="AT110">
        <v>1.22</v>
      </c>
      <c r="AU110">
        <v>1.26</v>
      </c>
      <c r="AV110">
        <v>1.27</v>
      </c>
      <c r="AW110">
        <v>1.26</v>
      </c>
      <c r="BY110">
        <v>1.49</v>
      </c>
      <c r="BZ110">
        <v>1.47</v>
      </c>
      <c r="CA110">
        <v>1.49</v>
      </c>
      <c r="CB110">
        <v>2.36</v>
      </c>
      <c r="CC110">
        <v>2.37</v>
      </c>
      <c r="CD110">
        <v>2.37</v>
      </c>
    </row>
    <row r="111" spans="1:82">
      <c r="A111">
        <v>10433939</v>
      </c>
      <c r="B111" s="95">
        <v>46190</v>
      </c>
      <c r="C111" s="96">
        <v>0.8209953703703704</v>
      </c>
      <c r="D111">
        <v>92.927000000000007</v>
      </c>
      <c r="E111">
        <v>1.94</v>
      </c>
      <c r="F111">
        <v>1.97</v>
      </c>
      <c r="G111">
        <v>1.93</v>
      </c>
      <c r="H111">
        <v>1.98</v>
      </c>
      <c r="I111">
        <v>1.94</v>
      </c>
      <c r="J111">
        <v>1.95</v>
      </c>
      <c r="K111">
        <v>1.38</v>
      </c>
      <c r="L111">
        <v>1.42</v>
      </c>
      <c r="M111">
        <v>1.4</v>
      </c>
      <c r="N111">
        <v>1.19</v>
      </c>
      <c r="O111">
        <v>1.18</v>
      </c>
      <c r="P111">
        <v>1.1599999999999999</v>
      </c>
      <c r="Q111">
        <v>1.19</v>
      </c>
      <c r="R111">
        <v>1.17</v>
      </c>
      <c r="S111">
        <v>1.18</v>
      </c>
      <c r="T111">
        <v>1.17</v>
      </c>
      <c r="U111">
        <v>1.19</v>
      </c>
      <c r="V111">
        <v>1.18</v>
      </c>
      <c r="W111">
        <v>1</v>
      </c>
      <c r="X111">
        <v>0.98</v>
      </c>
      <c r="Y111">
        <v>0.99</v>
      </c>
      <c r="Z111">
        <v>1.1200000000000001</v>
      </c>
      <c r="AA111">
        <v>1.1000000000000001</v>
      </c>
      <c r="AB111">
        <v>1.0900000000000001</v>
      </c>
      <c r="AC111">
        <v>1.32</v>
      </c>
      <c r="AD111">
        <v>1.31</v>
      </c>
      <c r="AE111">
        <v>1.35</v>
      </c>
      <c r="AF111">
        <v>1.27</v>
      </c>
      <c r="AG111">
        <v>1.26</v>
      </c>
      <c r="AH111">
        <v>1.27</v>
      </c>
      <c r="AI111">
        <v>1.26</v>
      </c>
      <c r="AJ111">
        <v>1.27</v>
      </c>
      <c r="AK111">
        <v>1.26</v>
      </c>
      <c r="AL111">
        <v>1.24</v>
      </c>
      <c r="AM111">
        <v>1.23</v>
      </c>
      <c r="AN111">
        <v>1.24</v>
      </c>
      <c r="AO111">
        <v>1.34</v>
      </c>
      <c r="AP111">
        <v>1.35</v>
      </c>
      <c r="AQ111">
        <v>1.34</v>
      </c>
      <c r="AR111">
        <v>1.22</v>
      </c>
      <c r="AS111">
        <v>1.2</v>
      </c>
      <c r="AT111">
        <v>1.22</v>
      </c>
      <c r="AU111">
        <v>1.29</v>
      </c>
      <c r="AV111">
        <v>1.27</v>
      </c>
      <c r="AW111">
        <v>1.28</v>
      </c>
      <c r="BY111">
        <v>1.5</v>
      </c>
      <c r="BZ111">
        <v>1.49</v>
      </c>
      <c r="CA111">
        <v>1.49</v>
      </c>
      <c r="CB111">
        <v>2.36</v>
      </c>
      <c r="CC111">
        <v>2.35</v>
      </c>
      <c r="CD111">
        <v>2.34</v>
      </c>
    </row>
    <row r="112" spans="1:82">
      <c r="A112">
        <v>10433939</v>
      </c>
      <c r="B112" s="95">
        <v>46190</v>
      </c>
      <c r="C112" s="96">
        <v>0.82239583333333333</v>
      </c>
      <c r="D112">
        <v>93.146000000000001</v>
      </c>
      <c r="E112">
        <v>2.0099999999999998</v>
      </c>
      <c r="F112">
        <v>1.99</v>
      </c>
      <c r="G112">
        <v>1.96</v>
      </c>
      <c r="H112">
        <v>1.93</v>
      </c>
      <c r="I112">
        <v>1.93</v>
      </c>
      <c r="J112">
        <v>1.98</v>
      </c>
      <c r="K112">
        <v>1.37</v>
      </c>
      <c r="L112">
        <v>1.39</v>
      </c>
      <c r="M112">
        <v>1.35</v>
      </c>
      <c r="N112">
        <v>1.1599999999999999</v>
      </c>
      <c r="O112">
        <v>1.1599999999999999</v>
      </c>
      <c r="P112">
        <v>1.1499999999999999</v>
      </c>
      <c r="Q112">
        <v>1.18</v>
      </c>
      <c r="R112">
        <v>1.19</v>
      </c>
      <c r="S112">
        <v>1.1599999999999999</v>
      </c>
      <c r="T112">
        <v>1.18</v>
      </c>
      <c r="U112">
        <v>1.1499999999999999</v>
      </c>
      <c r="V112">
        <v>1.1599999999999999</v>
      </c>
      <c r="W112">
        <v>0.99</v>
      </c>
      <c r="X112">
        <v>1.03</v>
      </c>
      <c r="Y112">
        <v>0.96</v>
      </c>
      <c r="Z112">
        <v>1.0900000000000001</v>
      </c>
      <c r="AA112">
        <v>1.1000000000000001</v>
      </c>
      <c r="AB112">
        <v>1.1200000000000001</v>
      </c>
      <c r="AC112">
        <v>1.28</v>
      </c>
      <c r="AD112">
        <v>1.26</v>
      </c>
      <c r="AE112">
        <v>1.23</v>
      </c>
      <c r="AF112">
        <v>1.27</v>
      </c>
      <c r="AG112">
        <v>1.28</v>
      </c>
      <c r="AH112">
        <v>1.28</v>
      </c>
      <c r="AI112">
        <v>1.27</v>
      </c>
      <c r="AJ112">
        <v>1.35</v>
      </c>
      <c r="AK112">
        <v>1.29</v>
      </c>
      <c r="AL112">
        <v>1.2</v>
      </c>
      <c r="AM112">
        <v>1.22</v>
      </c>
      <c r="AN112">
        <v>1.24</v>
      </c>
      <c r="AO112">
        <v>1.37</v>
      </c>
      <c r="AP112">
        <v>1.53</v>
      </c>
      <c r="AQ112">
        <v>1.48</v>
      </c>
      <c r="AR112">
        <v>1.19</v>
      </c>
      <c r="AS112">
        <v>1.18</v>
      </c>
      <c r="AT112">
        <v>1.2</v>
      </c>
      <c r="AU112">
        <v>1.29</v>
      </c>
      <c r="AV112">
        <v>1.32</v>
      </c>
      <c r="AW112">
        <v>1.3</v>
      </c>
      <c r="BY112">
        <v>1.46</v>
      </c>
      <c r="BZ112">
        <v>1.5</v>
      </c>
      <c r="CA112">
        <v>1.45</v>
      </c>
      <c r="CB112">
        <v>2.34</v>
      </c>
      <c r="CC112">
        <v>2.37</v>
      </c>
      <c r="CD112">
        <v>2.36</v>
      </c>
    </row>
    <row r="113" spans="1:82">
      <c r="A113">
        <v>10433939</v>
      </c>
      <c r="B113" s="95">
        <v>46190</v>
      </c>
      <c r="C113" s="96">
        <v>0.8236458333333333</v>
      </c>
      <c r="D113">
        <v>93.146000000000001</v>
      </c>
      <c r="E113">
        <v>2</v>
      </c>
      <c r="F113">
        <v>1.99</v>
      </c>
      <c r="G113">
        <v>1.96</v>
      </c>
      <c r="H113">
        <v>1.93</v>
      </c>
      <c r="I113">
        <v>1.94</v>
      </c>
      <c r="J113">
        <v>1.97</v>
      </c>
      <c r="K113">
        <v>1.36</v>
      </c>
      <c r="L113">
        <v>1.37</v>
      </c>
      <c r="M113">
        <v>1.36</v>
      </c>
      <c r="N113">
        <v>1.18</v>
      </c>
      <c r="O113">
        <v>1.1599999999999999</v>
      </c>
      <c r="P113">
        <v>1.17</v>
      </c>
      <c r="Q113">
        <v>1.1599999999999999</v>
      </c>
      <c r="R113">
        <v>1.17</v>
      </c>
      <c r="S113">
        <v>1.1599999999999999</v>
      </c>
      <c r="T113">
        <v>1.18</v>
      </c>
      <c r="U113">
        <v>1.1599999999999999</v>
      </c>
      <c r="V113">
        <v>1.1599999999999999</v>
      </c>
      <c r="W113">
        <v>1</v>
      </c>
      <c r="X113">
        <v>1.03</v>
      </c>
      <c r="Y113">
        <v>0.97</v>
      </c>
      <c r="Z113">
        <v>1.0900000000000001</v>
      </c>
      <c r="AA113">
        <v>1.0900000000000001</v>
      </c>
      <c r="AB113">
        <v>1.1200000000000001</v>
      </c>
      <c r="AC113">
        <v>1.26</v>
      </c>
      <c r="AD113">
        <v>1.26</v>
      </c>
      <c r="AE113">
        <v>1.23</v>
      </c>
      <c r="AF113">
        <v>1.26</v>
      </c>
      <c r="AG113">
        <v>1.27</v>
      </c>
      <c r="AH113">
        <v>1.26</v>
      </c>
      <c r="AI113">
        <v>1.28</v>
      </c>
      <c r="AJ113">
        <v>1.33</v>
      </c>
      <c r="AK113">
        <v>1.29</v>
      </c>
      <c r="AL113">
        <v>1.2</v>
      </c>
      <c r="AM113">
        <v>1.23</v>
      </c>
      <c r="AN113">
        <v>1.26</v>
      </c>
      <c r="AO113">
        <v>1.37</v>
      </c>
      <c r="AP113">
        <v>1.53</v>
      </c>
      <c r="AQ113">
        <v>1.48</v>
      </c>
      <c r="AR113">
        <v>1.2</v>
      </c>
      <c r="AS113">
        <v>1.19</v>
      </c>
      <c r="AT113">
        <v>1.18</v>
      </c>
      <c r="AU113">
        <v>1.29</v>
      </c>
      <c r="AV113">
        <v>1.32</v>
      </c>
      <c r="AW113">
        <v>1.3</v>
      </c>
      <c r="BY113">
        <v>1.46</v>
      </c>
      <c r="BZ113">
        <v>1.48</v>
      </c>
      <c r="CA113">
        <v>1.46</v>
      </c>
      <c r="CB113">
        <v>2.36</v>
      </c>
      <c r="CC113">
        <v>2.37</v>
      </c>
      <c r="CD113">
        <v>2.36</v>
      </c>
    </row>
    <row r="114" spans="1:82">
      <c r="A114">
        <v>10433939</v>
      </c>
      <c r="B114" s="95">
        <v>46191</v>
      </c>
      <c r="C114" s="96">
        <v>0.6724768518518518</v>
      </c>
      <c r="D114">
        <v>97.721999999999994</v>
      </c>
      <c r="E114">
        <v>1.94</v>
      </c>
      <c r="F114">
        <v>1.99</v>
      </c>
      <c r="G114">
        <v>1.96</v>
      </c>
      <c r="H114">
        <v>1.91</v>
      </c>
      <c r="I114">
        <v>1.89</v>
      </c>
      <c r="J114">
        <v>1.92</v>
      </c>
      <c r="K114">
        <v>1.36</v>
      </c>
      <c r="L114">
        <v>1.36</v>
      </c>
      <c r="M114">
        <v>1.34</v>
      </c>
      <c r="N114">
        <v>1.1599999999999999</v>
      </c>
      <c r="O114">
        <v>1.1399999999999999</v>
      </c>
      <c r="P114">
        <v>1.1599999999999999</v>
      </c>
      <c r="Q114">
        <v>1.17</v>
      </c>
      <c r="R114">
        <v>1.1599999999999999</v>
      </c>
      <c r="S114">
        <v>1.1599999999999999</v>
      </c>
      <c r="T114">
        <v>1.1499999999999999</v>
      </c>
      <c r="U114">
        <v>1.1599999999999999</v>
      </c>
      <c r="V114">
        <v>1.1399999999999999</v>
      </c>
      <c r="W114">
        <v>1.02</v>
      </c>
      <c r="X114">
        <v>0.98</v>
      </c>
      <c r="Y114">
        <v>0.91</v>
      </c>
      <c r="Z114">
        <v>1.0900000000000001</v>
      </c>
      <c r="AA114">
        <v>1.0900000000000001</v>
      </c>
      <c r="AB114">
        <v>1.0900000000000001</v>
      </c>
      <c r="AC114">
        <v>1.35</v>
      </c>
      <c r="AD114">
        <v>1.34</v>
      </c>
      <c r="AE114">
        <v>1.33</v>
      </c>
      <c r="AF114">
        <v>1.26</v>
      </c>
      <c r="AG114">
        <v>1.28</v>
      </c>
      <c r="AH114">
        <v>1.28</v>
      </c>
      <c r="AI114">
        <v>1.28</v>
      </c>
      <c r="AJ114">
        <v>1.26</v>
      </c>
      <c r="AK114">
        <v>1.29</v>
      </c>
      <c r="AL114">
        <v>1.22</v>
      </c>
      <c r="AM114">
        <v>1.25</v>
      </c>
      <c r="AN114">
        <v>1.26</v>
      </c>
      <c r="AO114">
        <v>1.36</v>
      </c>
      <c r="AP114">
        <v>1.45</v>
      </c>
      <c r="AQ114">
        <v>1.31</v>
      </c>
      <c r="AR114">
        <v>1.21</v>
      </c>
      <c r="AS114">
        <v>1.24</v>
      </c>
      <c r="AT114">
        <v>1.26</v>
      </c>
      <c r="AU114">
        <v>1.3</v>
      </c>
      <c r="AV114">
        <v>1.31</v>
      </c>
      <c r="AW114">
        <v>1.27</v>
      </c>
      <c r="BY114">
        <v>1.47</v>
      </c>
      <c r="BZ114">
        <v>1.49</v>
      </c>
      <c r="CA114">
        <v>1.47</v>
      </c>
      <c r="CB114">
        <v>2.37</v>
      </c>
      <c r="CC114">
        <v>2.38</v>
      </c>
      <c r="CD114">
        <v>2.36</v>
      </c>
    </row>
    <row r="115" spans="1:82">
      <c r="A115">
        <v>10433939</v>
      </c>
      <c r="B115" s="95">
        <v>46191</v>
      </c>
      <c r="C115" s="96">
        <v>0.67355324074074074</v>
      </c>
      <c r="D115">
        <v>92.739000000000004</v>
      </c>
      <c r="E115">
        <v>1.96</v>
      </c>
      <c r="F115">
        <v>1.98</v>
      </c>
      <c r="G115">
        <v>1.97</v>
      </c>
      <c r="H115">
        <v>1.9</v>
      </c>
      <c r="I115">
        <v>1.91</v>
      </c>
      <c r="J115">
        <v>1.9</v>
      </c>
      <c r="K115">
        <v>1.34</v>
      </c>
      <c r="L115">
        <v>1.37</v>
      </c>
      <c r="M115">
        <v>1.36</v>
      </c>
      <c r="N115">
        <v>1.19</v>
      </c>
      <c r="O115">
        <v>1.1599999999999999</v>
      </c>
      <c r="P115">
        <v>1.17</v>
      </c>
      <c r="Q115">
        <v>1.19</v>
      </c>
      <c r="R115">
        <v>1.17</v>
      </c>
      <c r="S115">
        <v>1.1499999999999999</v>
      </c>
      <c r="T115">
        <v>1.1599999999999999</v>
      </c>
      <c r="U115">
        <v>1.17</v>
      </c>
      <c r="V115">
        <v>1.1599999999999999</v>
      </c>
      <c r="W115">
        <v>1.04</v>
      </c>
      <c r="X115">
        <v>1</v>
      </c>
      <c r="Y115">
        <v>0.94</v>
      </c>
      <c r="Z115">
        <v>1.1000000000000001</v>
      </c>
      <c r="AA115">
        <v>1.1100000000000001</v>
      </c>
      <c r="AB115">
        <v>1.1000000000000001</v>
      </c>
      <c r="AC115">
        <v>1.31</v>
      </c>
      <c r="AD115">
        <v>1.36</v>
      </c>
      <c r="AE115">
        <v>1.34</v>
      </c>
      <c r="AF115">
        <v>1.29</v>
      </c>
      <c r="AG115">
        <v>1.26</v>
      </c>
      <c r="AH115">
        <v>1.29</v>
      </c>
      <c r="AI115">
        <v>1.29</v>
      </c>
      <c r="AJ115">
        <v>1.27</v>
      </c>
      <c r="AK115">
        <v>1.31</v>
      </c>
      <c r="AL115">
        <v>1.26</v>
      </c>
      <c r="AM115">
        <v>1.21</v>
      </c>
      <c r="AN115">
        <v>1.27</v>
      </c>
      <c r="AO115">
        <v>1.35</v>
      </c>
      <c r="AP115">
        <v>1.39</v>
      </c>
      <c r="AQ115">
        <v>1.36</v>
      </c>
      <c r="AR115">
        <v>1.26</v>
      </c>
      <c r="AS115">
        <v>1.25</v>
      </c>
      <c r="AT115">
        <v>1.24</v>
      </c>
      <c r="AU115">
        <v>1.29</v>
      </c>
      <c r="AV115">
        <v>1.29</v>
      </c>
      <c r="AW115">
        <v>1.29</v>
      </c>
      <c r="BY115">
        <v>1.46</v>
      </c>
      <c r="BZ115">
        <v>1.47</v>
      </c>
      <c r="CA115">
        <v>1.48</v>
      </c>
      <c r="CB115">
        <v>2.36</v>
      </c>
      <c r="CC115">
        <v>2.39</v>
      </c>
      <c r="CD115">
        <v>2.37</v>
      </c>
    </row>
    <row r="116" spans="1:82">
      <c r="A116">
        <v>10433939</v>
      </c>
      <c r="B116" s="95">
        <v>46191</v>
      </c>
      <c r="C116" s="96">
        <v>0.67547453703703708</v>
      </c>
      <c r="D116">
        <v>92.679000000000002</v>
      </c>
      <c r="E116">
        <v>2.0099999999999998</v>
      </c>
      <c r="F116">
        <v>2.06</v>
      </c>
      <c r="G116">
        <v>2.08</v>
      </c>
      <c r="H116">
        <v>1.93</v>
      </c>
      <c r="I116">
        <v>1.89</v>
      </c>
      <c r="J116">
        <v>1.94</v>
      </c>
      <c r="K116">
        <v>1.37</v>
      </c>
      <c r="L116">
        <v>1.38</v>
      </c>
      <c r="M116">
        <v>1.37</v>
      </c>
      <c r="N116">
        <v>1.1499999999999999</v>
      </c>
      <c r="O116">
        <v>1.1399999999999999</v>
      </c>
      <c r="P116">
        <v>1.1399999999999999</v>
      </c>
      <c r="Q116">
        <v>1.1399999999999999</v>
      </c>
      <c r="R116">
        <v>1.1599999999999999</v>
      </c>
      <c r="S116">
        <v>1.18</v>
      </c>
      <c r="T116">
        <v>1.1599999999999999</v>
      </c>
      <c r="U116">
        <v>1.1499999999999999</v>
      </c>
      <c r="V116">
        <v>1.1599999999999999</v>
      </c>
      <c r="W116">
        <v>0.98</v>
      </c>
      <c r="X116">
        <v>0.97</v>
      </c>
      <c r="Y116">
        <v>0.95</v>
      </c>
      <c r="Z116">
        <v>1.0900000000000001</v>
      </c>
      <c r="AA116">
        <v>1.06</v>
      </c>
      <c r="AB116">
        <v>1.0900000000000001</v>
      </c>
      <c r="AC116">
        <v>1.29</v>
      </c>
      <c r="AD116">
        <v>1.3</v>
      </c>
      <c r="AE116">
        <v>1.28</v>
      </c>
      <c r="AF116">
        <v>1.26</v>
      </c>
      <c r="AG116">
        <v>1.26</v>
      </c>
      <c r="AH116">
        <v>1.28</v>
      </c>
      <c r="AI116">
        <v>1.24</v>
      </c>
      <c r="AJ116">
        <v>1.31</v>
      </c>
      <c r="AK116">
        <v>1.22</v>
      </c>
      <c r="AL116">
        <v>1.24</v>
      </c>
      <c r="AM116">
        <v>1.23</v>
      </c>
      <c r="AN116">
        <v>1.27</v>
      </c>
      <c r="AO116">
        <v>1.33</v>
      </c>
      <c r="AP116">
        <v>1.31</v>
      </c>
      <c r="AQ116">
        <v>1.22</v>
      </c>
      <c r="AR116">
        <v>1.22</v>
      </c>
      <c r="AS116">
        <v>1.21</v>
      </c>
      <c r="AT116">
        <v>1.26</v>
      </c>
      <c r="AU116">
        <v>1.34</v>
      </c>
      <c r="AV116">
        <v>1.29</v>
      </c>
      <c r="AW116">
        <v>1.1499999999999999</v>
      </c>
      <c r="BY116">
        <v>1.51</v>
      </c>
      <c r="BZ116">
        <v>1.44</v>
      </c>
      <c r="CA116">
        <v>1.39</v>
      </c>
      <c r="CB116">
        <v>2.4</v>
      </c>
      <c r="CC116">
        <v>2.39</v>
      </c>
      <c r="CD116">
        <v>2.35</v>
      </c>
    </row>
    <row r="117" spans="1:82">
      <c r="A117">
        <v>10433939</v>
      </c>
      <c r="B117" s="95">
        <v>46191</v>
      </c>
      <c r="C117" s="96">
        <v>0.70575231481481482</v>
      </c>
      <c r="D117">
        <v>92.388000000000005</v>
      </c>
      <c r="E117">
        <v>1.92</v>
      </c>
      <c r="F117">
        <v>1.98</v>
      </c>
      <c r="G117">
        <v>1.86</v>
      </c>
      <c r="H117">
        <v>1.93</v>
      </c>
      <c r="I117">
        <v>1.9</v>
      </c>
      <c r="J117">
        <v>1.96</v>
      </c>
      <c r="K117">
        <v>1.23</v>
      </c>
      <c r="L117">
        <v>1.23</v>
      </c>
      <c r="M117">
        <v>1.25</v>
      </c>
      <c r="N117">
        <v>1.1499999999999999</v>
      </c>
      <c r="O117">
        <v>1.1299999999999999</v>
      </c>
      <c r="P117">
        <v>1.1200000000000001</v>
      </c>
      <c r="Q117">
        <v>1.1399999999999999</v>
      </c>
      <c r="R117">
        <v>1.1299999999999999</v>
      </c>
      <c r="S117">
        <v>1.19</v>
      </c>
      <c r="T117">
        <v>1.1599999999999999</v>
      </c>
      <c r="U117">
        <v>1.1399999999999999</v>
      </c>
      <c r="V117">
        <v>1.1499999999999999</v>
      </c>
      <c r="W117">
        <v>0.93</v>
      </c>
      <c r="X117">
        <v>0.9</v>
      </c>
      <c r="Y117">
        <v>0.91</v>
      </c>
      <c r="Z117">
        <v>1.0900000000000001</v>
      </c>
      <c r="AA117">
        <v>1.08</v>
      </c>
      <c r="AB117">
        <v>1.1000000000000001</v>
      </c>
      <c r="AC117">
        <v>1.38</v>
      </c>
      <c r="AD117">
        <v>1.28</v>
      </c>
      <c r="AE117">
        <v>1.33</v>
      </c>
      <c r="AF117">
        <v>1.27</v>
      </c>
      <c r="AG117">
        <v>1.26</v>
      </c>
      <c r="AH117">
        <v>1.28</v>
      </c>
      <c r="AI117">
        <v>1.33</v>
      </c>
      <c r="AJ117">
        <v>1.3</v>
      </c>
      <c r="AK117">
        <v>1.23</v>
      </c>
      <c r="AL117">
        <v>1.28</v>
      </c>
      <c r="AM117">
        <v>1.26</v>
      </c>
      <c r="AN117">
        <v>1.29</v>
      </c>
      <c r="AO117">
        <v>1.34</v>
      </c>
      <c r="AP117">
        <v>1.35</v>
      </c>
      <c r="AQ117">
        <v>1.3</v>
      </c>
      <c r="AR117">
        <v>1.29</v>
      </c>
      <c r="AS117">
        <v>1.27</v>
      </c>
      <c r="AT117">
        <v>1.25</v>
      </c>
      <c r="AU117">
        <v>1.27</v>
      </c>
      <c r="AV117">
        <v>1.23</v>
      </c>
      <c r="AW117">
        <v>1.26</v>
      </c>
      <c r="BY117">
        <v>1.51</v>
      </c>
      <c r="BZ117">
        <v>1.52</v>
      </c>
      <c r="CA117">
        <v>1.5</v>
      </c>
      <c r="CB117">
        <v>2.4300000000000002</v>
      </c>
      <c r="CC117">
        <v>2.39</v>
      </c>
      <c r="CD117">
        <v>2.38</v>
      </c>
    </row>
    <row r="118" spans="1:82">
      <c r="A118">
        <v>10433939</v>
      </c>
      <c r="B118" s="95">
        <v>46191</v>
      </c>
      <c r="C118" s="96">
        <v>0.70700231481481479</v>
      </c>
      <c r="D118">
        <v>92.619</v>
      </c>
      <c r="E118">
        <v>1.93</v>
      </c>
      <c r="F118">
        <v>1.97</v>
      </c>
      <c r="G118">
        <v>1.87</v>
      </c>
      <c r="H118">
        <v>1.94</v>
      </c>
      <c r="I118">
        <v>1.9</v>
      </c>
      <c r="J118">
        <v>1.95</v>
      </c>
      <c r="K118">
        <v>1.24</v>
      </c>
      <c r="L118">
        <v>1.23</v>
      </c>
      <c r="M118">
        <v>1.25</v>
      </c>
      <c r="N118">
        <v>1.17</v>
      </c>
      <c r="O118">
        <v>1.1499999999999999</v>
      </c>
      <c r="P118">
        <v>1.1399999999999999</v>
      </c>
      <c r="Q118">
        <v>1.1499999999999999</v>
      </c>
      <c r="R118">
        <v>1.1299999999999999</v>
      </c>
      <c r="S118">
        <v>1.18</v>
      </c>
      <c r="T118">
        <v>1.18</v>
      </c>
      <c r="U118">
        <v>1.1599999999999999</v>
      </c>
      <c r="V118">
        <v>1.17</v>
      </c>
      <c r="W118">
        <v>0.95</v>
      </c>
      <c r="X118">
        <v>0.92</v>
      </c>
      <c r="Y118">
        <v>0.92</v>
      </c>
      <c r="Z118">
        <v>1.1000000000000001</v>
      </c>
      <c r="AA118">
        <v>1.1200000000000001</v>
      </c>
      <c r="AB118">
        <v>1.1399999999999999</v>
      </c>
      <c r="AC118">
        <v>1.36</v>
      </c>
      <c r="AD118">
        <v>1.27</v>
      </c>
      <c r="AE118">
        <v>1.34</v>
      </c>
      <c r="AF118">
        <v>1.28</v>
      </c>
      <c r="AG118">
        <v>1.26</v>
      </c>
      <c r="AH118">
        <v>1.28</v>
      </c>
      <c r="AI118">
        <v>1.31</v>
      </c>
      <c r="AJ118">
        <v>1.29</v>
      </c>
      <c r="AK118">
        <v>1.26</v>
      </c>
      <c r="AL118">
        <v>1.28</v>
      </c>
      <c r="AM118">
        <v>1.26</v>
      </c>
      <c r="AN118">
        <v>1.28</v>
      </c>
      <c r="AO118">
        <v>1.35</v>
      </c>
      <c r="AP118">
        <v>1.35</v>
      </c>
      <c r="AQ118">
        <v>1.32</v>
      </c>
      <c r="AR118">
        <v>1.28</v>
      </c>
      <c r="AS118">
        <v>1.27</v>
      </c>
      <c r="AT118">
        <v>1.25</v>
      </c>
      <c r="AU118">
        <v>1.28</v>
      </c>
      <c r="AV118">
        <v>1.25</v>
      </c>
      <c r="AW118">
        <v>1.26</v>
      </c>
      <c r="BY118">
        <v>1.51</v>
      </c>
      <c r="BZ118">
        <v>1.52</v>
      </c>
      <c r="CA118">
        <v>1.5</v>
      </c>
      <c r="CB118">
        <v>2.4300000000000002</v>
      </c>
      <c r="CC118">
        <v>2.39</v>
      </c>
      <c r="CD118">
        <v>2.39</v>
      </c>
    </row>
    <row r="119" spans="1:82">
      <c r="A119">
        <v>10433939</v>
      </c>
      <c r="B119" s="95">
        <v>46191</v>
      </c>
      <c r="C119" s="96">
        <v>0.70846064814814813</v>
      </c>
      <c r="D119">
        <v>93.602999999999994</v>
      </c>
      <c r="E119">
        <v>2.06</v>
      </c>
      <c r="F119">
        <v>1.97</v>
      </c>
      <c r="G119">
        <v>1.91</v>
      </c>
      <c r="H119">
        <v>1.93</v>
      </c>
      <c r="I119">
        <v>1.96</v>
      </c>
      <c r="J119">
        <v>1.93</v>
      </c>
      <c r="K119">
        <v>1.27</v>
      </c>
      <c r="L119">
        <v>1.29</v>
      </c>
      <c r="M119">
        <v>1.25</v>
      </c>
      <c r="N119">
        <v>1.1299999999999999</v>
      </c>
      <c r="O119">
        <v>1.1499999999999999</v>
      </c>
      <c r="P119">
        <v>1.1599999999999999</v>
      </c>
      <c r="Q119">
        <v>1.19</v>
      </c>
      <c r="R119">
        <v>1.23</v>
      </c>
      <c r="S119">
        <v>1.19</v>
      </c>
      <c r="T119">
        <v>1.1499999999999999</v>
      </c>
      <c r="U119">
        <v>1.1299999999999999</v>
      </c>
      <c r="V119">
        <v>1.1399999999999999</v>
      </c>
      <c r="W119">
        <v>0.99</v>
      </c>
      <c r="X119">
        <v>1.01</v>
      </c>
      <c r="Y119">
        <v>0.98</v>
      </c>
      <c r="Z119">
        <v>1.1000000000000001</v>
      </c>
      <c r="AA119">
        <v>1.0900000000000001</v>
      </c>
      <c r="AB119">
        <v>1.08</v>
      </c>
      <c r="AC119">
        <v>1.33</v>
      </c>
      <c r="AD119">
        <v>1.39</v>
      </c>
      <c r="AE119">
        <v>1.33</v>
      </c>
      <c r="AF119">
        <v>1.28</v>
      </c>
      <c r="AG119">
        <v>1.24</v>
      </c>
      <c r="AH119">
        <v>1.23</v>
      </c>
      <c r="AI119">
        <v>1.32</v>
      </c>
      <c r="AJ119">
        <v>1.38</v>
      </c>
      <c r="AK119">
        <v>1.29</v>
      </c>
      <c r="AL119">
        <v>1.21</v>
      </c>
      <c r="AM119">
        <v>1.23</v>
      </c>
      <c r="AN119">
        <v>1.24</v>
      </c>
      <c r="AO119">
        <v>1.37</v>
      </c>
      <c r="AP119">
        <v>1.36</v>
      </c>
      <c r="AQ119">
        <v>1.38</v>
      </c>
      <c r="AR119">
        <v>1.2</v>
      </c>
      <c r="AS119">
        <v>1.19</v>
      </c>
      <c r="AT119">
        <v>1.2</v>
      </c>
      <c r="AU119">
        <v>1.36</v>
      </c>
      <c r="AV119">
        <v>1.35</v>
      </c>
      <c r="AW119">
        <v>1.35</v>
      </c>
      <c r="BA119">
        <v>1.47</v>
      </c>
      <c r="BB119">
        <v>1.39</v>
      </c>
      <c r="BC119">
        <v>1.4</v>
      </c>
      <c r="BD119">
        <v>2.33</v>
      </c>
      <c r="BE119">
        <v>2.31</v>
      </c>
      <c r="BF119">
        <v>2.34</v>
      </c>
      <c r="BY119">
        <v>1.47</v>
      </c>
      <c r="BZ119">
        <v>1.39</v>
      </c>
      <c r="CA119">
        <v>1.4</v>
      </c>
      <c r="CB119">
        <v>2.33</v>
      </c>
      <c r="CC119">
        <v>2.31</v>
      </c>
      <c r="CD119">
        <v>2.34</v>
      </c>
    </row>
    <row r="120" spans="1:82">
      <c r="A120">
        <v>10433939</v>
      </c>
      <c r="B120" s="95">
        <v>46191</v>
      </c>
      <c r="C120" s="96">
        <v>0.70964120370370365</v>
      </c>
      <c r="D120">
        <v>93.623999999999995</v>
      </c>
      <c r="E120">
        <v>2.04</v>
      </c>
      <c r="F120">
        <v>1.98</v>
      </c>
      <c r="G120">
        <v>1.93</v>
      </c>
      <c r="H120">
        <v>1.94</v>
      </c>
      <c r="I120">
        <v>1.95</v>
      </c>
      <c r="J120">
        <v>1.94</v>
      </c>
      <c r="K120">
        <v>1.28</v>
      </c>
      <c r="L120">
        <v>1.3</v>
      </c>
      <c r="M120">
        <v>1.26</v>
      </c>
      <c r="N120">
        <v>1.1499999999999999</v>
      </c>
      <c r="O120">
        <v>1.1599999999999999</v>
      </c>
      <c r="P120">
        <v>1.1499999999999999</v>
      </c>
      <c r="Q120">
        <v>1.2</v>
      </c>
      <c r="R120">
        <v>1.22</v>
      </c>
      <c r="S120">
        <v>1.2</v>
      </c>
      <c r="T120">
        <v>1.17</v>
      </c>
      <c r="U120">
        <v>1.1499999999999999</v>
      </c>
      <c r="V120">
        <v>1.1599999999999999</v>
      </c>
      <c r="W120">
        <v>1</v>
      </c>
      <c r="X120">
        <v>1.01</v>
      </c>
      <c r="Y120">
        <v>0.99</v>
      </c>
      <c r="Z120">
        <v>1.1299999999999999</v>
      </c>
      <c r="AA120">
        <v>1.1000000000000001</v>
      </c>
      <c r="AB120">
        <v>1.0900000000000001</v>
      </c>
      <c r="AC120">
        <v>1.33</v>
      </c>
      <c r="AD120">
        <v>1.38</v>
      </c>
      <c r="AE120">
        <v>1.33</v>
      </c>
      <c r="AF120">
        <v>1.29</v>
      </c>
      <c r="AG120">
        <v>1.26</v>
      </c>
      <c r="AH120">
        <v>1.23</v>
      </c>
      <c r="AI120">
        <v>1.32</v>
      </c>
      <c r="AJ120">
        <v>1.37</v>
      </c>
      <c r="AK120">
        <v>1.29</v>
      </c>
      <c r="AL120">
        <v>1.23</v>
      </c>
      <c r="AM120">
        <v>1.24</v>
      </c>
      <c r="AN120">
        <v>1.23</v>
      </c>
      <c r="AO120">
        <v>1.36</v>
      </c>
      <c r="AP120">
        <v>1.37</v>
      </c>
      <c r="AQ120">
        <v>1.37</v>
      </c>
      <c r="AR120">
        <v>1.22</v>
      </c>
      <c r="AS120">
        <v>1.2</v>
      </c>
      <c r="AT120">
        <v>1.21</v>
      </c>
      <c r="AU120">
        <v>1.35</v>
      </c>
      <c r="AV120">
        <v>1.34</v>
      </c>
      <c r="AW120">
        <v>1.35</v>
      </c>
      <c r="BY120">
        <v>1.47</v>
      </c>
      <c r="BZ120">
        <v>1.4</v>
      </c>
      <c r="CA120">
        <v>1.39</v>
      </c>
      <c r="CB120">
        <v>2.33</v>
      </c>
      <c r="CC120">
        <v>2.3199999999999998</v>
      </c>
      <c r="CD120">
        <v>2.34</v>
      </c>
    </row>
    <row r="121" spans="1:82">
      <c r="A121">
        <v>10433939</v>
      </c>
      <c r="B121" s="95">
        <v>46191</v>
      </c>
      <c r="C121" s="96">
        <v>0.71089120370370373</v>
      </c>
      <c r="D121">
        <v>93.587000000000003</v>
      </c>
      <c r="E121">
        <v>1.88</v>
      </c>
      <c r="F121">
        <v>1.91</v>
      </c>
      <c r="G121">
        <v>1.94</v>
      </c>
      <c r="H121">
        <v>1.91</v>
      </c>
      <c r="I121">
        <v>1.92</v>
      </c>
      <c r="J121">
        <v>1.93</v>
      </c>
      <c r="K121">
        <v>1.3</v>
      </c>
      <c r="L121">
        <v>1.3</v>
      </c>
      <c r="M121">
        <v>1.31</v>
      </c>
      <c r="N121">
        <v>1.1200000000000001</v>
      </c>
      <c r="O121">
        <v>1.1100000000000001</v>
      </c>
      <c r="P121">
        <v>1.1000000000000001</v>
      </c>
      <c r="Q121">
        <v>1.21</v>
      </c>
      <c r="R121">
        <v>1.24</v>
      </c>
      <c r="S121">
        <v>1.19</v>
      </c>
      <c r="T121">
        <v>1.1399999999999999</v>
      </c>
      <c r="U121">
        <v>1.1200000000000001</v>
      </c>
      <c r="V121">
        <v>1.1299999999999999</v>
      </c>
      <c r="W121">
        <v>1.03</v>
      </c>
      <c r="X121">
        <v>0.99</v>
      </c>
      <c r="Y121">
        <v>0.95</v>
      </c>
      <c r="Z121">
        <v>1.1100000000000001</v>
      </c>
      <c r="AA121">
        <v>1.05</v>
      </c>
      <c r="AB121">
        <v>1.05</v>
      </c>
      <c r="AC121">
        <v>1.4</v>
      </c>
      <c r="AD121">
        <v>1.35</v>
      </c>
      <c r="AE121">
        <v>1.32</v>
      </c>
      <c r="AF121">
        <v>1.21</v>
      </c>
      <c r="AG121">
        <v>1.22</v>
      </c>
      <c r="AH121">
        <v>1.21</v>
      </c>
      <c r="AI121">
        <v>1.4</v>
      </c>
      <c r="AJ121">
        <v>1.34</v>
      </c>
      <c r="AK121">
        <v>1.29</v>
      </c>
      <c r="AL121">
        <v>1.17</v>
      </c>
      <c r="AM121">
        <v>1.1599999999999999</v>
      </c>
      <c r="AN121">
        <v>1.1599999999999999</v>
      </c>
      <c r="AO121">
        <v>1.42</v>
      </c>
      <c r="AP121">
        <v>1.41</v>
      </c>
      <c r="AQ121">
        <v>1.37</v>
      </c>
      <c r="AR121">
        <v>1.1499999999999999</v>
      </c>
      <c r="AS121">
        <v>1.1499999999999999</v>
      </c>
      <c r="AT121">
        <v>1.17</v>
      </c>
      <c r="AU121">
        <v>1.38</v>
      </c>
      <c r="AV121">
        <v>1.39</v>
      </c>
      <c r="AW121">
        <v>1.29</v>
      </c>
      <c r="BY121">
        <v>1.41</v>
      </c>
      <c r="BZ121">
        <v>1.44</v>
      </c>
      <c r="CA121">
        <v>1.36</v>
      </c>
      <c r="CB121">
        <v>2.27</v>
      </c>
      <c r="CC121">
        <v>2.29</v>
      </c>
      <c r="CD121">
        <v>2.2599999999999998</v>
      </c>
    </row>
    <row r="122" spans="1:82">
      <c r="A122">
        <v>10433939</v>
      </c>
      <c r="B122" s="95">
        <v>46191</v>
      </c>
      <c r="C122" s="96">
        <v>0.71199074074074076</v>
      </c>
      <c r="D122">
        <v>93.759</v>
      </c>
      <c r="E122">
        <v>1.91</v>
      </c>
      <c r="F122">
        <v>1.96</v>
      </c>
      <c r="G122">
        <v>1.9</v>
      </c>
      <c r="H122">
        <v>1.9</v>
      </c>
      <c r="I122">
        <v>1.93</v>
      </c>
      <c r="J122">
        <v>1.91</v>
      </c>
      <c r="K122">
        <v>1.36</v>
      </c>
      <c r="L122">
        <v>1.32</v>
      </c>
      <c r="M122">
        <v>1.3</v>
      </c>
      <c r="N122">
        <v>1.1599999999999999</v>
      </c>
      <c r="O122">
        <v>1.1000000000000001</v>
      </c>
      <c r="P122">
        <v>1.1200000000000001</v>
      </c>
      <c r="Q122">
        <v>1.19</v>
      </c>
      <c r="R122">
        <v>1.2</v>
      </c>
      <c r="S122">
        <v>1.21</v>
      </c>
      <c r="T122">
        <v>1.1599999999999999</v>
      </c>
      <c r="U122">
        <v>1.1499999999999999</v>
      </c>
      <c r="V122">
        <v>1.1499999999999999</v>
      </c>
      <c r="W122">
        <v>1.07</v>
      </c>
      <c r="X122">
        <v>1.03</v>
      </c>
      <c r="Y122">
        <v>0.97</v>
      </c>
      <c r="Z122">
        <v>1.1200000000000001</v>
      </c>
      <c r="AA122">
        <v>1.0900000000000001</v>
      </c>
      <c r="AB122">
        <v>1.1000000000000001</v>
      </c>
      <c r="AC122">
        <v>1.39</v>
      </c>
      <c r="AD122">
        <v>1.36</v>
      </c>
      <c r="AE122">
        <v>1.31</v>
      </c>
      <c r="AF122">
        <v>1.19</v>
      </c>
      <c r="AG122">
        <v>1.21</v>
      </c>
      <c r="AH122">
        <v>1.19</v>
      </c>
      <c r="AI122">
        <v>1.36</v>
      </c>
      <c r="AJ122">
        <v>1.31</v>
      </c>
      <c r="AK122">
        <v>1.3</v>
      </c>
      <c r="AL122">
        <v>1.19</v>
      </c>
      <c r="AM122">
        <v>1.17</v>
      </c>
      <c r="AN122">
        <v>1.18</v>
      </c>
      <c r="AO122">
        <v>1.4</v>
      </c>
      <c r="AP122">
        <v>1.39</v>
      </c>
      <c r="AQ122">
        <v>1.41</v>
      </c>
      <c r="AR122">
        <v>1.17</v>
      </c>
      <c r="AS122">
        <v>1.18</v>
      </c>
      <c r="AT122">
        <v>1.19</v>
      </c>
      <c r="AU122">
        <v>1.38</v>
      </c>
      <c r="AV122">
        <v>1.38</v>
      </c>
      <c r="AW122">
        <v>1.31</v>
      </c>
      <c r="BY122">
        <v>1.4</v>
      </c>
      <c r="BZ122">
        <v>1.42</v>
      </c>
      <c r="CA122">
        <v>1.39</v>
      </c>
      <c r="CB122">
        <v>2.29</v>
      </c>
      <c r="CC122">
        <v>2.31</v>
      </c>
      <c r="CD122">
        <v>2.29</v>
      </c>
    </row>
    <row r="123" spans="1:82">
      <c r="A123">
        <v>10433939</v>
      </c>
      <c r="B123" s="95">
        <v>46191</v>
      </c>
      <c r="C123" s="96">
        <v>0.71297453703703706</v>
      </c>
      <c r="D123">
        <v>93.48</v>
      </c>
      <c r="E123">
        <v>1.85</v>
      </c>
      <c r="F123">
        <v>1.88</v>
      </c>
      <c r="G123">
        <v>1.93</v>
      </c>
      <c r="H123">
        <v>1.91</v>
      </c>
      <c r="I123">
        <v>1.89</v>
      </c>
      <c r="J123">
        <v>1.91</v>
      </c>
      <c r="K123">
        <v>1.29</v>
      </c>
      <c r="L123">
        <v>1.27</v>
      </c>
      <c r="M123">
        <v>1.26</v>
      </c>
      <c r="N123">
        <v>1.1299999999999999</v>
      </c>
      <c r="O123">
        <v>1.1100000000000001</v>
      </c>
      <c r="P123">
        <v>1.1000000000000001</v>
      </c>
      <c r="Q123">
        <v>1.21</v>
      </c>
      <c r="R123">
        <v>1.21</v>
      </c>
      <c r="S123">
        <v>1.1599999999999999</v>
      </c>
      <c r="T123">
        <v>1.1499999999999999</v>
      </c>
      <c r="U123">
        <v>1.1200000000000001</v>
      </c>
      <c r="V123">
        <v>1.1200000000000001</v>
      </c>
      <c r="W123">
        <v>1.03</v>
      </c>
      <c r="X123">
        <v>0.97</v>
      </c>
      <c r="Y123">
        <v>0.91</v>
      </c>
      <c r="Z123">
        <v>1.0900000000000001</v>
      </c>
      <c r="AA123">
        <v>1.07</v>
      </c>
      <c r="AB123">
        <v>1.07</v>
      </c>
      <c r="AC123">
        <v>1.36</v>
      </c>
      <c r="AD123">
        <v>1.31</v>
      </c>
      <c r="AE123">
        <v>1.38</v>
      </c>
      <c r="AF123">
        <v>1.27</v>
      </c>
      <c r="AG123">
        <v>1.22</v>
      </c>
      <c r="AH123">
        <v>1.24</v>
      </c>
      <c r="AI123">
        <v>1.32</v>
      </c>
      <c r="AJ123">
        <v>1.29</v>
      </c>
      <c r="AK123">
        <v>1.36</v>
      </c>
      <c r="AL123">
        <v>1.21</v>
      </c>
      <c r="AM123">
        <v>1.2</v>
      </c>
      <c r="AN123">
        <v>1.21</v>
      </c>
      <c r="AO123">
        <v>1.41</v>
      </c>
      <c r="AP123">
        <v>1.44</v>
      </c>
      <c r="AQ123">
        <v>1.39</v>
      </c>
      <c r="AR123">
        <v>1.21</v>
      </c>
      <c r="AS123">
        <v>1.21</v>
      </c>
      <c r="AT123">
        <v>1.24</v>
      </c>
      <c r="AU123">
        <v>1.36</v>
      </c>
      <c r="AV123">
        <v>1.39</v>
      </c>
      <c r="AW123">
        <v>1.32</v>
      </c>
      <c r="BY123">
        <v>1.45</v>
      </c>
      <c r="BZ123">
        <v>1.43</v>
      </c>
      <c r="CA123">
        <v>1.41</v>
      </c>
      <c r="CB123">
        <v>2.35</v>
      </c>
      <c r="CC123">
        <v>2.36</v>
      </c>
      <c r="CD123">
        <v>2.33</v>
      </c>
    </row>
    <row r="124" spans="1:82">
      <c r="A124">
        <v>10433939</v>
      </c>
      <c r="B124" s="95">
        <v>46191</v>
      </c>
      <c r="C124" s="96">
        <v>0.71432870370370372</v>
      </c>
      <c r="D124">
        <v>93.51</v>
      </c>
      <c r="E124">
        <v>1.84</v>
      </c>
      <c r="F124">
        <v>1.86</v>
      </c>
      <c r="G124">
        <v>1.9</v>
      </c>
      <c r="H124">
        <v>1.9</v>
      </c>
      <c r="I124">
        <v>1.91</v>
      </c>
      <c r="J124">
        <v>1.89</v>
      </c>
      <c r="K124">
        <v>1.28</v>
      </c>
      <c r="L124">
        <v>1.29</v>
      </c>
      <c r="M124">
        <v>1.27</v>
      </c>
      <c r="N124">
        <v>1.1399999999999999</v>
      </c>
      <c r="O124">
        <v>1.1299999999999999</v>
      </c>
      <c r="P124">
        <v>1.1100000000000001</v>
      </c>
      <c r="Q124">
        <v>1.24</v>
      </c>
      <c r="R124">
        <v>1.25</v>
      </c>
      <c r="S124">
        <v>1.21</v>
      </c>
      <c r="T124">
        <v>1.1599999999999999</v>
      </c>
      <c r="U124">
        <v>1.17</v>
      </c>
      <c r="V124">
        <v>1.1499999999999999</v>
      </c>
      <c r="W124">
        <v>1.07</v>
      </c>
      <c r="X124">
        <v>1.01</v>
      </c>
      <c r="Y124">
        <v>0.97</v>
      </c>
      <c r="Z124">
        <v>1.1000000000000001</v>
      </c>
      <c r="AA124">
        <v>1.0900000000000001</v>
      </c>
      <c r="AB124">
        <v>1.1000000000000001</v>
      </c>
      <c r="AC124">
        <v>1.39</v>
      </c>
      <c r="AD124">
        <v>1.36</v>
      </c>
      <c r="AE124">
        <v>1.38</v>
      </c>
      <c r="AF124">
        <v>1.29</v>
      </c>
      <c r="AG124">
        <v>1.26</v>
      </c>
      <c r="AH124">
        <v>1.27</v>
      </c>
      <c r="AI124">
        <v>1.36</v>
      </c>
      <c r="AJ124">
        <v>1.31</v>
      </c>
      <c r="AK124">
        <v>1.35</v>
      </c>
      <c r="AL124">
        <v>1.25</v>
      </c>
      <c r="AM124">
        <v>1.19</v>
      </c>
      <c r="AN124">
        <v>1.22</v>
      </c>
      <c r="AO124">
        <v>1.39</v>
      </c>
      <c r="AP124">
        <v>1.41</v>
      </c>
      <c r="AQ124">
        <v>1.39</v>
      </c>
      <c r="AR124">
        <v>1.19</v>
      </c>
      <c r="AS124">
        <v>1.26</v>
      </c>
      <c r="AT124">
        <v>1.25</v>
      </c>
      <c r="AU124">
        <v>1.35</v>
      </c>
      <c r="AV124">
        <v>1.36</v>
      </c>
      <c r="AW124">
        <v>1.31</v>
      </c>
      <c r="BY124">
        <v>1.46</v>
      </c>
      <c r="BZ124">
        <v>1.45</v>
      </c>
      <c r="CA124">
        <v>1.44</v>
      </c>
      <c r="CB124">
        <v>2.38</v>
      </c>
      <c r="CC124">
        <v>2.39</v>
      </c>
      <c r="CD124">
        <v>2.35</v>
      </c>
    </row>
    <row r="125" spans="1:82">
      <c r="A125">
        <v>10433939</v>
      </c>
      <c r="B125" s="95">
        <v>46192</v>
      </c>
      <c r="C125" s="96">
        <v>0.98662037037037043</v>
      </c>
      <c r="D125">
        <v>92.71</v>
      </c>
      <c r="E125">
        <v>2.06</v>
      </c>
      <c r="F125">
        <v>2.1</v>
      </c>
      <c r="G125">
        <v>2.09</v>
      </c>
      <c r="H125">
        <v>1.91</v>
      </c>
      <c r="I125">
        <v>1.89</v>
      </c>
      <c r="J125">
        <v>1.91</v>
      </c>
      <c r="K125">
        <v>1.39</v>
      </c>
      <c r="L125">
        <v>1.36</v>
      </c>
      <c r="M125">
        <v>1.39</v>
      </c>
      <c r="N125">
        <v>1.1599999999999999</v>
      </c>
      <c r="O125">
        <v>1.17</v>
      </c>
      <c r="P125">
        <v>1.1499999999999999</v>
      </c>
      <c r="Q125">
        <v>1.17</v>
      </c>
      <c r="R125">
        <v>1.19</v>
      </c>
      <c r="S125">
        <v>1.1599999999999999</v>
      </c>
      <c r="T125">
        <v>1.18</v>
      </c>
      <c r="U125">
        <v>1.17</v>
      </c>
      <c r="V125">
        <v>1.19</v>
      </c>
      <c r="W125">
        <v>1</v>
      </c>
      <c r="X125">
        <v>1.03</v>
      </c>
      <c r="Y125">
        <v>0.99</v>
      </c>
      <c r="Z125">
        <v>1.1000000000000001</v>
      </c>
      <c r="AA125">
        <v>1.0900000000000001</v>
      </c>
      <c r="AB125">
        <v>1.1100000000000001</v>
      </c>
      <c r="AC125">
        <v>1.31</v>
      </c>
      <c r="AD125">
        <v>1.32</v>
      </c>
      <c r="AE125">
        <v>1.31</v>
      </c>
      <c r="AF125">
        <v>1.29</v>
      </c>
      <c r="AG125">
        <v>1.28</v>
      </c>
      <c r="AH125">
        <v>1.31</v>
      </c>
      <c r="AI125">
        <v>1.26</v>
      </c>
      <c r="AJ125">
        <v>1.29</v>
      </c>
      <c r="AK125">
        <v>1.26</v>
      </c>
      <c r="AL125">
        <v>1.25</v>
      </c>
      <c r="AM125">
        <v>1.21</v>
      </c>
      <c r="AN125">
        <v>1.28</v>
      </c>
      <c r="AO125">
        <v>1.38</v>
      </c>
      <c r="AP125">
        <v>1.35</v>
      </c>
      <c r="AQ125">
        <v>1.32</v>
      </c>
      <c r="AR125">
        <v>1.26</v>
      </c>
      <c r="AS125">
        <v>1.2</v>
      </c>
      <c r="AT125">
        <v>1.24</v>
      </c>
      <c r="AU125">
        <v>1.32</v>
      </c>
      <c r="AV125">
        <v>1.23</v>
      </c>
      <c r="AW125">
        <v>1.24</v>
      </c>
      <c r="BY125">
        <v>1.5</v>
      </c>
      <c r="BZ125">
        <v>1.47</v>
      </c>
      <c r="CA125">
        <v>1.41</v>
      </c>
      <c r="CB125">
        <v>2.41</v>
      </c>
      <c r="CC125">
        <v>2.4</v>
      </c>
      <c r="CD125">
        <v>2.39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</vt:lpstr>
      <vt:lpstr>Data</vt:lpstr>
      <vt:lpstr>14DAJ9</vt:lpstr>
      <vt:lpstr>Hoja4</vt:lpstr>
      <vt:lpstr>'14DAJ9'!Área_de_impresión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emilio.hernandez</dc:creator>
  <cp:lastModifiedBy>emilio.hernandez</cp:lastModifiedBy>
  <cp:lastPrinted>2026-07-16T20:34:52Z</cp:lastPrinted>
  <dcterms:created xsi:type="dcterms:W3CDTF">2026-06-21T18:37:15Z</dcterms:created>
  <dcterms:modified xsi:type="dcterms:W3CDTF">2026-07-16T20:37:51Z</dcterms:modified>
</cp:coreProperties>
</file>